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Mayuresh\Learning\MyNotes\"/>
    </mc:Choice>
  </mc:AlternateContent>
  <xr:revisionPtr revIDLastSave="0" documentId="13_ncr:1_{5CC798F4-BFAA-4324-A3CE-F15581B537C1}" xr6:coauthVersionLast="47" xr6:coauthVersionMax="47" xr10:uidLastSave="{00000000-0000-0000-0000-000000000000}"/>
  <bookViews>
    <workbookView xWindow="-108" yWindow="-108" windowWidth="23256" windowHeight="13896" activeTab="3" xr2:uid="{00000000-000D-0000-FFFF-FFFF00000000}"/>
  </bookViews>
  <sheets>
    <sheet name="Manual Auto Basics" sheetId="11" r:id="rId1"/>
    <sheet name="Manual Test Management" sheetId="21" r:id="rId2"/>
    <sheet name="Aut Test Mgmt" sheetId="22" r:id="rId3"/>
    <sheet name="Automation FW - POM" sheetId="7" r:id="rId4"/>
    <sheet name="Python" sheetId="14" r:id="rId5"/>
    <sheet name="Pytest" sheetId="23" r:id="rId6"/>
    <sheet name="Playwright-python" sheetId="19" r:id="rId7"/>
    <sheet name="Selenium" sheetId="2" r:id="rId8"/>
    <sheet name="API" sheetId="10" r:id="rId9"/>
    <sheet name="SQL Database" sheetId="16" r:id="rId10"/>
    <sheet name="Jenkins" sheetId="6" r:id="rId11"/>
    <sheet name="Github" sheetId="5" r:id="rId12"/>
    <sheet name="Behave BDD" sheetId="31" r:id="rId13"/>
    <sheet name="Cucumber BDD" sheetId="8" r:id="rId14"/>
    <sheet name="Robot Framework" sheetId="18" r:id="rId15"/>
    <sheet name="Java" sheetId="1" r:id="rId16"/>
    <sheet name="Java vs Python vs C#" sheetId="15" r:id="rId17"/>
    <sheet name="TestNG" sheetId="4" r:id="rId18"/>
    <sheet name="Maven" sheetId="3" r:id="rId19"/>
    <sheet name="Data Structures and Algorithms" sheetId="20" r:id="rId20"/>
    <sheet name="Cypress" sheetId="17" r:id="rId21"/>
    <sheet name="Linux commands" sheetId="12" r:id="rId22"/>
    <sheet name="SonarQube" sheetId="13" r:id="rId23"/>
    <sheet name="Appium" sheetId="9"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3" i="22" l="1"/>
  <c r="E153" i="22"/>
  <c r="F153" i="22"/>
  <c r="G153" i="22"/>
  <c r="C153" i="22"/>
  <c r="H142" i="22"/>
  <c r="D144" i="22"/>
  <c r="E144" i="22"/>
  <c r="F144" i="22"/>
  <c r="G144" i="22"/>
  <c r="C144" i="22"/>
  <c r="D27" i="3"/>
  <c r="H144" i="22" l="1"/>
  <c r="C163" i="22" s="1"/>
  <c r="H153" i="22"/>
  <c r="C161" i="22" s="1"/>
  <c r="C162" i="22" s="1"/>
  <c r="C165" i="22" s="1"/>
</calcChain>
</file>

<file path=xl/sharedStrings.xml><?xml version="1.0" encoding="utf-8"?>
<sst xmlns="http://schemas.openxmlformats.org/spreadsheetml/2006/main" count="3035" uniqueCount="2821">
  <si>
    <t>Check Java installed or not</t>
  </si>
  <si>
    <t>OOPS Concept</t>
  </si>
  <si>
    <t>Inheritance
Polymorphism
Abstraction
Encapsulation</t>
  </si>
  <si>
    <t>Data Types</t>
  </si>
  <si>
    <t>Calculate length of String</t>
  </si>
  <si>
    <t>String str = "Hello World";
int len;
len = str.length();</t>
  </si>
  <si>
    <t>Operators</t>
  </si>
  <si>
    <t>1. Arithmetic Operators
2. Relational Operators
3. Logical Operators
4. Assignment Operators</t>
  </si>
  <si>
    <t>Post Increment</t>
  </si>
  <si>
    <t>int i = 1;
System.out.println(i++); //1
System.out.println(i); //2</t>
  </si>
  <si>
    <t>Pre Increment</t>
  </si>
  <si>
    <t>int z= 9;
System.out.println(++z); //10</t>
  </si>
  <si>
    <t>While loop</t>
  </si>
  <si>
    <t>int i=0;
while(i&lt;10)
{
System.out.println("Value of i is " +i);
i++;
}</t>
  </si>
  <si>
    <t>For Loop</t>
  </si>
  <si>
    <t>for (int i=0; i&lt;5; i++)
{
System.out.println("Value of I is : " +i);
}</t>
  </si>
  <si>
    <t>Xpath</t>
  </si>
  <si>
    <t>1. Relative/Partial Xpath
2. Absolute/Complete Xpath</t>
  </si>
  <si>
    <t>Relative Xpath</t>
  </si>
  <si>
    <t>Absolute Xpath</t>
  </si>
  <si>
    <t>Syntax for realtive xpath</t>
  </si>
  <si>
    <t xml:space="preserve">1. Using Single attribute: //tagname[@attribute name = 'value1']
2. Using Multiple attribute: //tagname[@attribute1 = 'value1'][@attribute2='value2']
3. Using contains method: //tagname[contains(@attribute,'value1')]
</t>
  </si>
  <si>
    <t>4. Text method: //tagname[text()='text we are searching for']
5. starts-with method: //tagname[starts-with(@attribute-name, '')]</t>
  </si>
  <si>
    <t>Radio button</t>
  </si>
  <si>
    <t>Check Box</t>
  </si>
  <si>
    <t>Difference between radio button and check box.</t>
  </si>
  <si>
    <t>Radio button we can select one but check box we can select multiple.</t>
  </si>
  <si>
    <t>1. It is also called as list box.
2. Every dropdown will have tagname as "Select"
3. Every element in droplist will have tag "Option"</t>
  </si>
  <si>
    <t>Dropdown list</t>
  </si>
  <si>
    <t>Example:
WebElement month_dropdown = driver.findElement(By.xpath("xpath of drop list"));
Select month = new Select(month_dropdown);
month.selectByIndex(3);</t>
  </si>
  <si>
    <t>Handling dropdown list without using "Select" class.</t>
  </si>
  <si>
    <t>WebElement month_dropdown = driver.findElement(By.xpath("xpath of drop list"));
month_dropdown.sendkeys("April"); // April will be selected from dropdown list.</t>
  </si>
  <si>
    <t>Waits</t>
  </si>
  <si>
    <t>1. Implicit Wait
2. Explicit Wait
3. Fluent Wait</t>
  </si>
  <si>
    <t>Implicit Wait</t>
  </si>
  <si>
    <r>
      <t xml:space="preserve">1. To instruct WebDriver to wait for a specific amount before throwning exception.
</t>
    </r>
    <r>
      <rPr>
        <b/>
        <sz val="11"/>
        <color theme="1"/>
        <rFont val="Calibri"/>
        <family val="2"/>
        <scheme val="minor"/>
      </rPr>
      <t>Syntax:</t>
    </r>
    <r>
      <rPr>
        <sz val="11"/>
        <color theme="1"/>
        <rFont val="Calibri"/>
        <family val="2"/>
        <scheme val="minor"/>
      </rPr>
      <t xml:space="preserve"> driver.manage().timeouts().implicitlyWait(30, TimeUnit.Seconds);</t>
    </r>
  </si>
  <si>
    <t>Explicitly Wait</t>
  </si>
  <si>
    <t>WebTable</t>
  </si>
  <si>
    <t>JavaScript</t>
  </si>
  <si>
    <t>Mouse Simulation using action class</t>
  </si>
  <si>
    <t>Drag and Drop (Using Source &amp; Destination)</t>
  </si>
  <si>
    <t>Go to "CMD" &amp; type "java -version" and press Enter</t>
  </si>
  <si>
    <t>It starts with double forward slash (//)</t>
  </si>
  <si>
    <t>It starts with single forward slash (/)</t>
  </si>
  <si>
    <r>
      <t xml:space="preserve">1. </t>
    </r>
    <r>
      <rPr>
        <b/>
        <sz val="11"/>
        <color theme="1"/>
        <rFont val="Calibri"/>
        <family val="2"/>
        <scheme val="minor"/>
      </rPr>
      <t>Primitive</t>
    </r>
    <r>
      <rPr>
        <sz val="11"/>
        <color theme="1"/>
        <rFont val="Calibri"/>
        <family val="2"/>
        <scheme val="minor"/>
      </rPr>
      <t xml:space="preserve"> - boolean, char, byte, short, int, long, float, double
2. </t>
    </r>
    <r>
      <rPr>
        <b/>
        <sz val="11"/>
        <color theme="1"/>
        <rFont val="Calibri"/>
        <family val="2"/>
        <scheme val="minor"/>
      </rPr>
      <t>Non Primitive</t>
    </r>
    <r>
      <rPr>
        <sz val="11"/>
        <color theme="1"/>
        <rFont val="Calibri"/>
        <family val="2"/>
        <scheme val="minor"/>
      </rPr>
      <t xml:space="preserve"> - String, Array</t>
    </r>
  </si>
  <si>
    <r>
      <t xml:space="preserve">1. It is used to halt the execution till the time a particular condition is met 
or the maximum time has lapsed.
</t>
    </r>
    <r>
      <rPr>
        <b/>
        <sz val="11"/>
        <color theme="1"/>
        <rFont val="Calibri"/>
        <family val="2"/>
        <scheme val="minor"/>
      </rPr>
      <t/>
    </r>
  </si>
  <si>
    <r>
      <rPr>
        <b/>
        <sz val="11"/>
        <color theme="1"/>
        <rFont val="Calibri"/>
        <family val="2"/>
        <scheme val="minor"/>
      </rPr>
      <t>Syntax:</t>
    </r>
    <r>
      <rPr>
        <sz val="11"/>
        <color theme="1"/>
        <rFont val="Calibri"/>
        <family val="2"/>
        <scheme val="minor"/>
      </rPr>
      <t xml:space="preserve">
WebDriverWait wait = new WebDriverWait(driver, 10);
WebElement element = wait.until(ExpectedConditions.
elementToBeClickable(By.xpath("Xpath Expression")));</t>
    </r>
  </si>
  <si>
    <t>How do you validate the colour of the element in selenium</t>
  </si>
  <si>
    <t>How do you validate the data from database using selenium</t>
  </si>
  <si>
    <t>Sr. No.</t>
  </si>
  <si>
    <t>Question</t>
  </si>
  <si>
    <t>Answer</t>
  </si>
  <si>
    <t>Create Maven project throught Command Prompt</t>
  </si>
  <si>
    <t>mvn archetype:generate -DgroupId=&lt;group id&gt; -DartifactId=&lt;artifact id&gt; -DarchetypeArtifactId=maven-archetype-quickstart -DinteractiveMode = false</t>
  </si>
  <si>
    <t>Make maven project compatible with eclipse</t>
  </si>
  <si>
    <t xml:space="preserve"> cd &lt;project Folder&gt;
mvn eclipse:eclipse</t>
  </si>
  <si>
    <t>Difference Between Array and Arraylist</t>
  </si>
  <si>
    <t>Array</t>
  </si>
  <si>
    <t>ArrayList</t>
  </si>
  <si>
    <t>Arraylist size is dynamic</t>
  </si>
  <si>
    <t>Array is just a collection of variables of similar datatypes</t>
  </si>
  <si>
    <t>Arraylist is a java class in the package: java.util</t>
  </si>
  <si>
    <t>Syntax: ArrayList&lt;String&gt; stringList = new ArrayList&lt;String&gt; ();
stringList.add("String1");</t>
  </si>
  <si>
    <t>Syntax: 
1. String[] stringArray = {"string", "String2", "String3"}
2. String[] stringArray = new String[3];
stringArray[0] = "String1";</t>
  </si>
  <si>
    <t>What is a String in java</t>
  </si>
  <si>
    <t>An object</t>
  </si>
  <si>
    <t>What is the difference between String literal declaration (String s = "Welcome")
 and String Object declaration (String s = new String("Welcome") )?</t>
  </si>
  <si>
    <t>String literal declaration: Duplicate values in will not create a new object, but just point the reference of existing object to the new one
Object declaration: Every time the new keyword is used, the object will be created</t>
  </si>
  <si>
    <r>
      <t xml:space="preserve">What is the difference between </t>
    </r>
    <r>
      <rPr>
        <i/>
        <sz val="11"/>
        <color theme="1"/>
        <rFont val="Calibri"/>
        <family val="2"/>
        <scheme val="minor"/>
      </rPr>
      <t>'mvn test'</t>
    </r>
    <r>
      <rPr>
        <sz val="11"/>
        <color theme="1"/>
        <rFont val="Calibri"/>
        <family val="2"/>
        <scheme val="minor"/>
      </rPr>
      <t xml:space="preserve"> and </t>
    </r>
    <r>
      <rPr>
        <i/>
        <sz val="11"/>
        <color theme="1"/>
        <rFont val="Calibri"/>
        <family val="2"/>
        <scheme val="minor"/>
      </rPr>
      <t xml:space="preserve">'mvn install' </t>
    </r>
    <r>
      <rPr>
        <sz val="11"/>
        <color theme="1"/>
        <rFont val="Calibri"/>
        <family val="2"/>
        <scheme val="minor"/>
      </rPr>
      <t>commands?</t>
    </r>
  </si>
  <si>
    <t>Basic Maven Commands</t>
  </si>
  <si>
    <t>Cleans the project and removes all files generated by the previous build.</t>
  </si>
  <si>
    <t> Compiles source code of the project.</t>
  </si>
  <si>
    <t>Compiles the test source code.</t>
  </si>
  <si>
    <t>Runs tests for the project.</t>
  </si>
  <si>
    <t> Creates JAR or WAR file for the project to convert it into a distributable format.</t>
  </si>
  <si>
    <t> Deploys the packaged JAR/ WAR file to the local repository.</t>
  </si>
  <si>
    <t>Copies the packaged JAR/ WAR file to the remote repository after compiling, running tests and building the project</t>
  </si>
  <si>
    <r>
      <rPr>
        <b/>
        <sz val="11"/>
        <color theme="1"/>
        <rFont val="Calibri"/>
        <family val="2"/>
        <scheme val="minor"/>
      </rPr>
      <t>mvn test:</t>
    </r>
    <r>
      <rPr>
        <sz val="11"/>
        <color theme="1"/>
        <rFont val="Calibri"/>
        <family val="2"/>
        <scheme val="minor"/>
      </rPr>
      <t xml:space="preserve"> Runs tests for the project
</t>
    </r>
    <r>
      <rPr>
        <b/>
        <sz val="11"/>
        <color theme="1"/>
        <rFont val="Calibri"/>
        <family val="2"/>
        <scheme val="minor"/>
      </rPr>
      <t>mvn install: </t>
    </r>
    <r>
      <rPr>
        <sz val="11"/>
        <color theme="1"/>
        <rFont val="Calibri"/>
        <family val="2"/>
        <scheme val="minor"/>
      </rPr>
      <t>Deploys the packaged JAR/ WAR file to the local repository</t>
    </r>
  </si>
  <si>
    <t>Maven Project Lifecycle</t>
  </si>
  <si>
    <t> This step validates if the project structure is correct. For example – It checks if all the dependencies have been downloaded and are available in the local repository.</t>
  </si>
  <si>
    <t>It compiles the source code, converts the .java files to .class and stores the classes in target/classes folder.</t>
  </si>
  <si>
    <t> It runs unit tests for the project.</t>
  </si>
  <si>
    <t> This step packages the compiled code in distributable format like JAR or WAR.</t>
  </si>
  <si>
    <t> It runs the integration tests for the project.</t>
  </si>
  <si>
    <t> This step runs checks to verify that the project is valid and meets the quality standards.</t>
  </si>
  <si>
    <t> This step installs the packaged code to the local Maven repository.</t>
  </si>
  <si>
    <t> It copies the packaged code to the remote repository for sharing it with other developers.</t>
  </si>
  <si>
    <t>Deploy</t>
  </si>
  <si>
    <t>Validate</t>
  </si>
  <si>
    <t>Compile</t>
  </si>
  <si>
    <t>Test</t>
  </si>
  <si>
    <t>Package</t>
  </si>
  <si>
    <t>Integration test</t>
  </si>
  <si>
    <t>Verify</t>
  </si>
  <si>
    <t>Install</t>
  </si>
  <si>
    <t>mvn clean</t>
  </si>
  <si>
    <t>mvn compile</t>
  </si>
  <si>
    <t>mvn test-compile</t>
  </si>
  <si>
    <t>mvn test</t>
  </si>
  <si>
    <t>mvn package</t>
  </si>
  <si>
    <t>mvn install</t>
  </si>
  <si>
    <t>mvn deploy</t>
  </si>
  <si>
    <t>Array size is static</t>
  </si>
  <si>
    <t>How to add value in a set?</t>
  </si>
  <si>
    <t>HashSet &lt;String&gt; testSet = new HashSet&lt;String&gt;();
 testSet.add("Mayuresh");</t>
  </si>
  <si>
    <t>How to get the values of the hashmap?</t>
  </si>
  <si>
    <t xml:space="preserve">  Map &lt;String, String&gt; testMap = new HashMap&lt;String, String&gt;();
  Set&lt;String&gt; keys = testMap.keySet();
  Iterator&lt;String&gt; iter = keys.iterator();
  while(iter.hasNext())
     {
          String next = iter.next();
          System.out.println(next + ": " +testMap.get(next));
      }</t>
  </si>
  <si>
    <t>Access Modifiers</t>
  </si>
  <si>
    <t>default</t>
  </si>
  <si>
    <t>private</t>
  </si>
  <si>
    <t>public</t>
  </si>
  <si>
    <t>Selenium Advantages</t>
  </si>
  <si>
    <t>Open Source (v/s $2k for QTP/UFT)</t>
  </si>
  <si>
    <t>Supports multiple browsers (Firefox, Chrome, IE, Safari)</t>
  </si>
  <si>
    <t>Supports multiple languages ( Java, C#, Python, JavaScript, PHP, Ruby etc.)</t>
  </si>
  <si>
    <t>Supports multiple OS (Windows, macOS, Linux)</t>
  </si>
  <si>
    <t>2</t>
  </si>
  <si>
    <t>Selenium components</t>
  </si>
  <si>
    <t>Selenium 1.0: IDE + RC</t>
  </si>
  <si>
    <t>Selenium 4.0: IDE + RC</t>
  </si>
  <si>
    <t>Selenium 3.0: WebDriver + Grid + W3C Specifications</t>
  </si>
  <si>
    <t>To Handle something more than element's visibility. E.g. interactability. Implicit wait handles only the visibility</t>
  </si>
  <si>
    <t>ExpectedConditions Options</t>
  </si>
  <si>
    <t>1. alertIsPresent()
2. elementToBeClickable()
3. frameToBeAvaliableAndSwitchToIt()
4. presenceOfElementLocated()
5. visibilityOfElementLocated()</t>
  </si>
  <si>
    <t>Absolute</t>
  </si>
  <si>
    <t>//tag[@attribute='value']</t>
  </si>
  <si>
    <t>/html/body/……/tag[@attribute='value']</t>
  </si>
  <si>
    <t>Relative</t>
  </si>
  <si>
    <t xml:space="preserve">Direct Child </t>
  </si>
  <si>
    <t xml:space="preserve">//div/a </t>
  </si>
  <si>
    <t>div &gt; a</t>
  </si>
  <si>
    <t xml:space="preserve"> Child or Subchild </t>
  </si>
  <si>
    <t>/div//a</t>
  </si>
  <si>
    <t>div a</t>
  </si>
  <si>
    <t>Id</t>
  </si>
  <si>
    <t>//div[@id=’idValue’]//a</t>
  </si>
  <si>
    <t>div#idValue a</t>
  </si>
  <si>
    <t>Class</t>
  </si>
  <si>
    <t>//div[@class=’classValue’]//a</t>
  </si>
  <si>
    <t>div.classValue a</t>
  </si>
  <si>
    <t xml:space="preserve">Following Sibling </t>
  </si>
  <si>
    <t>ul&gt;li.first + li</t>
  </si>
  <si>
    <t>Attribute</t>
  </si>
  <si>
    <t>//form/input[@name=’username’]</t>
  </si>
  <si>
    <t>form input[name=’username’]</t>
  </si>
  <si>
    <t>Multiple Attributes</t>
  </si>
  <si>
    <t>input[name=’continue’][type=’button’]</t>
  </si>
  <si>
    <t>//input[@name=’continue’ and @type=’button’]</t>
  </si>
  <si>
    <t>nth Child</t>
  </si>
  <si>
    <t>/ul[@id=’list’]/li[4]</t>
  </si>
  <si>
    <t>ul#list li:nth-child(4)</t>
  </si>
  <si>
    <t>First Child</t>
  </si>
  <si>
    <t>//ul[@id=’list’]/li[1]</t>
  </si>
  <si>
    <t>ul#list li:first-child</t>
  </si>
  <si>
    <t>Last Child</t>
  </si>
  <si>
    <t>//ul[@id=’list’]/li[last()]</t>
  </si>
  <si>
    <t>ul#list li:last-child</t>
  </si>
  <si>
    <t>Attribute Contains</t>
  </si>
  <si>
    <t>//div[contains(@title,’Title’)]</t>
  </si>
  <si>
    <t>div[title*=”Title”]</t>
  </si>
  <si>
    <t>Attribute Starts With</t>
  </si>
  <si>
    <t>//input[starts-with(@name,’user’)]</t>
  </si>
  <si>
    <t>input[name^=”user”]</t>
  </si>
  <si>
    <t>Attribute Ends With</t>
  </si>
  <si>
    <t>//input[ends-with(@name,’name’)]</t>
  </si>
  <si>
    <t>input[name$=”name”]</t>
  </si>
  <si>
    <t>Element with Attribute</t>
  </si>
  <si>
    <t>//div[@title]</t>
  </si>
  <si>
    <t>div[title]</t>
  </si>
  <si>
    <t>CSS Selector</t>
  </si>
  <si>
    <t>//ul/li[@class=’first’]/following-sibling::li</t>
  </si>
  <si>
    <t>Parent</t>
  </si>
  <si>
    <t>//ul/li[@class=’first’]/parent::li</t>
  </si>
  <si>
    <t>N/A</t>
  </si>
  <si>
    <t>//ul/li[@class=’first’]/..</t>
  </si>
  <si>
    <t>Preceding Sibling</t>
  </si>
  <si>
    <t>//ul/li[@class=’first’]/preceding-sibling::li</t>
  </si>
  <si>
    <t>Ancestor</t>
  </si>
  <si>
    <t>//ul/li[@class=’first’]/ancestor::li</t>
  </si>
  <si>
    <t>CSS Attribute symbols</t>
  </si>
  <si>
    <t>ID {tagName[id='value']}</t>
  </si>
  <si>
    <t># {tagName#value}</t>
  </si>
  <si>
    <t>Tag Name {tagName}</t>
  </si>
  <si>
    <t>. {tagName.value}</t>
  </si>
  <si>
    <t>Class Name {tagName[class = 'value']}</t>
  </si>
  <si>
    <t>Class Name with spaces  {tagName[class = 'word1 word2 word3']}</t>
  </si>
  <si>
    <t>Multiple dots {tagName.word1.word2.word3}</t>
  </si>
  <si>
    <t>Keyboard action keys</t>
  </si>
  <si>
    <t>Difference between actions class keyboard keys and webelement keyboard keys</t>
  </si>
  <si>
    <t>webelement keyboard keys need a webelement attached to it. Actions class can perform it directly</t>
  </si>
  <si>
    <t>Combination keys (ctrl+a, ctrl+c etc.)</t>
  </si>
  <si>
    <t>Difference between .perform() and .build().perform()</t>
  </si>
  <si>
    <t>With .build().perform(), multiple actions can be combined. E.g.
act.sendKeys(Keys.chord(Keys.CONTROL+"a")).perform();
act.sendKeys(Keys.chord(Keys.CONTROL+"c")).perform();
act.sendKeys(Keys.chord(Keys.CONTROL+"a")).sendKeys(Keys.chord(Keys.CONTROL+"c")).build().perform();</t>
  </si>
  <si>
    <t>Create file in a folder from git bash</t>
  </si>
  <si>
    <t>touch &lt;fileName&gt; &lt;fileName&gt;</t>
  </si>
  <si>
    <t>git log</t>
  </si>
  <si>
    <t>Show logs of all the current session activities</t>
  </si>
  <si>
    <t>Create a directory</t>
  </si>
  <si>
    <t>Change to that directory</t>
  </si>
  <si>
    <t>cd</t>
  </si>
  <si>
    <t>git init</t>
  </si>
  <si>
    <t>Add the modified files to staging in git</t>
  </si>
  <si>
    <t xml:space="preserve">git add &lt;fileName / folderName&gt;  &lt;fileName / folderName&gt;  &lt;fileName / folderName&gt; </t>
  </si>
  <si>
    <t>Commit the changes to git</t>
  </si>
  <si>
    <t>git commit -m "&lt;message&gt;"</t>
  </si>
  <si>
    <t>Change the configurations</t>
  </si>
  <si>
    <t>git config --global user.name "&lt;userName&gt;</t>
  </si>
  <si>
    <t>To see the contents of the file</t>
  </si>
  <si>
    <t>cat &lt;fileName&gt;</t>
  </si>
  <si>
    <t>To copy contents of one file to another file</t>
  </si>
  <si>
    <t>cp &lt;sourceFileName&gt; &lt;destFileName&gt;</t>
  </si>
  <si>
    <t>git clone &lt;repository link&gt;</t>
  </si>
  <si>
    <t>git pull</t>
  </si>
  <si>
    <t>See the files in the current folder</t>
  </si>
  <si>
    <t>ls -la</t>
  </si>
  <si>
    <t>See the files in the current folder, including hidden files</t>
  </si>
  <si>
    <t>ls</t>
  </si>
  <si>
    <t>Clear the screen</t>
  </si>
  <si>
    <t>clear</t>
  </si>
  <si>
    <t>Delete a file from the folder (does not delete the folder)</t>
  </si>
  <si>
    <t>rm -rf &lt;fileName&gt; &lt;fileName&gt;</t>
  </si>
  <si>
    <t>Delete file/folder forcefully (deletes the folder)</t>
  </si>
  <si>
    <t>rm &lt;fileName&gt; &lt;folderName&gt;</t>
  </si>
  <si>
    <t>Change directory</t>
  </si>
  <si>
    <t>Change directory - go back one folder</t>
  </si>
  <si>
    <t>cd ..</t>
  </si>
  <si>
    <t>Get 'present working directory'</t>
  </si>
  <si>
    <t>pwd</t>
  </si>
  <si>
    <t>Initialize an empty git repository in the folder</t>
  </si>
  <si>
    <t>Show one-line logs</t>
  </si>
  <si>
    <t>See all configurations</t>
  </si>
  <si>
    <t>git config --list</t>
  </si>
  <si>
    <t>Copy one file's contents to the other. Overwrites the destination file</t>
  </si>
  <si>
    <t>cp &lt;sourceFile&gt; &lt;destFile&gt;</t>
  </si>
  <si>
    <t>Get the existing git repository into your local repository</t>
  </si>
  <si>
    <t>Create another name (alias) for a command</t>
  </si>
  <si>
    <t>git config --global alias.&lt;aliasName&gt; &lt;ActualCommand&gt;</t>
  </si>
  <si>
    <t xml:space="preserve">Check the difference between local repository file and central one </t>
  </si>
  <si>
    <t>git diff &lt;fileName&gt; &lt;fileName&gt;</t>
  </si>
  <si>
    <t>Save the changes in local repository before pushing it to central</t>
  </si>
  <si>
    <t>git stash</t>
  </si>
  <si>
    <t>See the list of stashed file</t>
  </si>
  <si>
    <t>git stash pop</t>
  </si>
  <si>
    <t>git stash list</t>
  </si>
  <si>
    <t>Get the stashed files back to working</t>
  </si>
  <si>
    <t>Renaming a command</t>
  </si>
  <si>
    <t>mv &lt;Old Name&gt; &lt;New Name&gt;</t>
  </si>
  <si>
    <t>Show a message on console</t>
  </si>
  <si>
    <t>echo &lt;message&gt;</t>
  </si>
  <si>
    <t>Show the date</t>
  </si>
  <si>
    <t>date</t>
  </si>
  <si>
    <t>Show a file's complete finformation</t>
  </si>
  <si>
    <t>git blame &lt;fileName&gt;</t>
  </si>
  <si>
    <t>Blame command only works for the staged files</t>
  </si>
  <si>
    <t>Write a command's input to a file</t>
  </si>
  <si>
    <t>[Command] &gt; [fileName]</t>
  </si>
  <si>
    <t>Append a command's input to a file</t>
  </si>
  <si>
    <t>[Command] &gt;&gt; [fileName]</t>
  </si>
  <si>
    <t>Replaces all the previos information in the destination file</t>
  </si>
  <si>
    <t>Create a new branch in an existing repository</t>
  </si>
  <si>
    <t>git branch</t>
  </si>
  <si>
    <t>git branch &lt;branchName&gt;</t>
  </si>
  <si>
    <t>Switch between branches</t>
  </si>
  <si>
    <t>git checkout &lt;branchName&gt;</t>
  </si>
  <si>
    <t>Check all the available branches</t>
  </si>
  <si>
    <t>Create a new branch and switch to it</t>
  </si>
  <si>
    <t>git checkout -b &lt;branchName&gt;</t>
  </si>
  <si>
    <t>Add tag to git (Generally used for version number)</t>
  </si>
  <si>
    <t>git tag &lt;tagName&gt;</t>
  </si>
  <si>
    <t>Restore the files deleted from the repository, which were tracked by git</t>
  </si>
  <si>
    <t>git restore &lt;fileName&gt;</t>
  </si>
  <si>
    <t>Can an outer class be static?</t>
  </si>
  <si>
    <t>How to send a get() request with restAssured API</t>
  </si>
  <si>
    <t>post() request</t>
  </si>
  <si>
    <t>URI = Uniform Resource Identifier</t>
  </si>
  <si>
    <t>put() request</t>
  </si>
  <si>
    <r>
      <t xml:space="preserve">Same as post. Replace the </t>
    </r>
    <r>
      <rPr>
        <b/>
        <i/>
        <sz val="11"/>
        <color theme="1"/>
        <rFont val="Calibri"/>
        <family val="2"/>
        <scheme val="minor"/>
      </rPr>
      <t>post()</t>
    </r>
    <r>
      <rPr>
        <sz val="11"/>
        <color theme="1"/>
        <rFont val="Calibri"/>
        <family val="2"/>
        <scheme val="minor"/>
      </rPr>
      <t xml:space="preserve"> method with</t>
    </r>
    <r>
      <rPr>
        <b/>
        <i/>
        <sz val="11"/>
        <color theme="1"/>
        <rFont val="Calibri"/>
        <family val="2"/>
        <scheme val="minor"/>
      </rPr>
      <t xml:space="preserve"> put()</t>
    </r>
    <r>
      <rPr>
        <sz val="11"/>
        <color theme="1"/>
        <rFont val="Calibri"/>
        <family val="2"/>
        <scheme val="minor"/>
      </rPr>
      <t>, and resource with put resource</t>
    </r>
  </si>
  <si>
    <t>delete() request</t>
  </si>
  <si>
    <r>
      <t>given().</t>
    </r>
    <r>
      <rPr>
        <sz val="11"/>
        <color rgb="FFFF0000"/>
        <rFont val="Calibri"/>
        <family val="2"/>
        <scheme val="minor"/>
      </rPr>
      <t>log().all().</t>
    </r>
    <r>
      <rPr>
        <sz val="11"/>
        <color theme="1"/>
        <rFont val="Calibri"/>
        <family val="2"/>
        <scheme val="minor"/>
      </rPr>
      <t>queryParam("place_id", placeID).queryParam("key", "qaclick123").
  when().delete("maps/api/place/delete/json").
  then().</t>
    </r>
    <r>
      <rPr>
        <sz val="11"/>
        <color rgb="FFFF0000"/>
        <rFont val="Calibri"/>
        <family val="2"/>
        <scheme val="minor"/>
      </rPr>
      <t>log().all().assertThat().statusCode(200)</t>
    </r>
    <r>
      <rPr>
        <sz val="11"/>
        <color theme="1"/>
        <rFont val="Calibri"/>
        <family val="2"/>
        <scheme val="minor"/>
      </rPr>
      <t>;</t>
    </r>
  </si>
  <si>
    <r>
      <rPr>
        <b/>
        <sz val="11"/>
        <color theme="1"/>
        <rFont val="Calibri"/>
        <family val="2"/>
        <scheme val="minor"/>
      </rPr>
      <t xml:space="preserve">Defining private access to the class will make it accessible inside the same package, which default keyword already does for us. </t>
    </r>
    <r>
      <rPr>
        <sz val="11"/>
        <color theme="1"/>
        <rFont val="Calibri"/>
        <family val="2"/>
        <scheme val="minor"/>
      </rPr>
      <t>Therefore there is no benefit of defining a class private it will only make things ambiguous</t>
    </r>
  </si>
  <si>
    <t>Can an outer class be private?</t>
  </si>
  <si>
    <t>Can an outer class be protected?</t>
  </si>
  <si>
    <t>Only accessible inside the entity (class or package or interface) in which it is defined</t>
  </si>
  <si>
    <t>Only accessible inside the same package and it is also known as package-private (No modifiers needed).</t>
  </si>
  <si>
    <t>Can be accessed from anywhere</t>
  </si>
  <si>
    <t xml:space="preserve">protected </t>
  </si>
  <si>
    <t>Only accessible inside the same package plus outside the package within child classes (through inheritance only)</t>
  </si>
  <si>
    <t>Since a package can not be extended (can be imported) defining a class protected will again make it similar to defining it as default which we can already do</t>
  </si>
  <si>
    <t>The difference between Hashmap and Hashtable</t>
  </si>
  <si>
    <t>S. No.</t>
  </si>
  <si>
    <t>Hashmap</t>
  </si>
  <si>
    <t>Hashtable</t>
  </si>
  <si>
    <t>No method is synchronized.</t>
  </si>
  <si>
    <t>Every method is synchronized.</t>
  </si>
  <si>
    <t>Multiple threads can operate simultaneously and hence hashmap’s object is not thread-safe.</t>
  </si>
  <si>
    <t>At a time only one thread is allowed to operate the Hashtable’s object. Hence it is thread-safe.</t>
  </si>
  <si>
    <t>Threads are not required to wait and hence relatively performance is high.</t>
  </si>
  <si>
    <t>It increases the waiting time of the thread and hence performance is low.</t>
  </si>
  <si>
    <t>Null is not allowed for both key and value. Otherwise, we will get a null pointer exception.</t>
  </si>
  <si>
    <t>It is introduced in the 1.2 version.</t>
  </si>
  <si>
    <t>It is introduced in the 1.0 version.</t>
  </si>
  <si>
    <t>6. </t>
  </si>
  <si>
    <t>It is non-legacy.</t>
  </si>
  <si>
    <t>It is a legacy.</t>
  </si>
  <si>
    <t>Null is allowed for One key and many values.</t>
  </si>
  <si>
    <t>Automation Testing</t>
  </si>
  <si>
    <t>Criteria for choosing test cases for automation</t>
  </si>
  <si>
    <t>Repetitive</t>
  </si>
  <si>
    <t>Time-consuming</t>
  </si>
  <si>
    <t>Subject to human error</t>
  </si>
  <si>
    <t>Stable</t>
  </si>
  <si>
    <t>TestNG Annotations</t>
  </si>
  <si>
    <t>@Test</t>
  </si>
  <si>
    <t>@BeforeTest</t>
  </si>
  <si>
    <t>Types of Testcases to automate</t>
  </si>
  <si>
    <t>Unit tests</t>
  </si>
  <si>
    <t>Integration tests</t>
  </si>
  <si>
    <t>Functional Tests</t>
  </si>
  <si>
    <t>Prioritizing automation of TCs</t>
  </si>
  <si>
    <t>Something on critical path, and frequently used</t>
  </si>
  <si>
    <t>For fulfilling legal requirements</t>
  </si>
  <si>
    <t>Involves a lot of data and environmantal setup</t>
  </si>
  <si>
    <t>Has a lot of reuse</t>
  </si>
  <si>
    <t>Git commands and stages flow/ Steps of a git structure</t>
  </si>
  <si>
    <t>Local Workspace (Local Computer)</t>
  </si>
  <si>
    <t>Actual code present here</t>
  </si>
  <si>
    <t>git add</t>
  </si>
  <si>
    <t>Converts the local folder to git repository</t>
  </si>
  <si>
    <t>Staging area</t>
  </si>
  <si>
    <t>Adds the files under the control of git (Staging Area)</t>
  </si>
  <si>
    <t>git status</t>
  </si>
  <si>
    <t>Shows the status of files in staging area</t>
  </si>
  <si>
    <t>git commit -m "&lt;message&gt;</t>
  </si>
  <si>
    <t>Entering the files in the local repository</t>
  </si>
  <si>
    <t>git push</t>
  </si>
  <si>
    <t>Enter the local repository's code to Central Repository (Github)</t>
  </si>
  <si>
    <t>Local Repository</t>
  </si>
  <si>
    <t>Central Repository</t>
  </si>
  <si>
    <t>git fetch</t>
  </si>
  <si>
    <t>Get the Central repository's latest files ot the local workspace</t>
  </si>
  <si>
    <t>git log --oneline</t>
  </si>
  <si>
    <t xml:space="preserve">Giet fetch is safer to use, and get you the information you want to know without making any local changes to your work </t>
  </si>
  <si>
    <t>Git pull gets all the commits from the remote, i.e. get fetch + git merge</t>
  </si>
  <si>
    <t>Update the local repo with central repository files without changing the local workspace files</t>
  </si>
  <si>
    <t>Update the local repo with central repository files and change the local workspace files</t>
  </si>
  <si>
    <t>Delete the unstaged files from git workspace</t>
  </si>
  <si>
    <t>git clean {Requires at least one attribute : -n -f -i}</t>
  </si>
  <si>
    <t>Show the files to be deleted with git clean</t>
  </si>
  <si>
    <t>git clean -n</t>
  </si>
  <si>
    <t>git clean -f</t>
  </si>
  <si>
    <t>Delete all the files with git clean</t>
  </si>
  <si>
    <t>Show all the commands for git clean</t>
  </si>
  <si>
    <t>git clean -i</t>
  </si>
  <si>
    <t>Remove the files under the control of git (Files staged with git add)</t>
  </si>
  <si>
    <t>git rm -f &lt;fileName&gt;</t>
  </si>
  <si>
    <t>so sonar issues can be identified and fixed in eclipse itself with he help of sonarlint. Such issues will never comeup to sonarqube</t>
  </si>
  <si>
    <t>Delete a single file with git clean</t>
  </si>
  <si>
    <t>git clean -f &lt;fileName&gt;</t>
  </si>
  <si>
    <t>Why use git clean when linux command 'rm'  is already there to delete unstaged files?</t>
  </si>
  <si>
    <t>With git clean, you can see the files which will be deleted, before actually deleting them.</t>
  </si>
  <si>
    <t>Remove a file from the git staging area</t>
  </si>
  <si>
    <t>How to run multiple commands one after another?</t>
  </si>
  <si>
    <t>By using semicolon e.g. git add . ; git commit -m "message"</t>
  </si>
  <si>
    <t>git reset  -hard</t>
  </si>
  <si>
    <t>Revert to any previous commit</t>
  </si>
  <si>
    <t>git revert &lt;commit no.&gt;</t>
  </si>
  <si>
    <t>Show a stash's contents/ commit information</t>
  </si>
  <si>
    <t>git show &lt;stash index&gt;/ &lt;Commit index&gt;</t>
  </si>
  <si>
    <t>Amend the existing commit, which was not pushed to the central repository</t>
  </si>
  <si>
    <t>git commit -am "&lt;message&gt;"</t>
  </si>
  <si>
    <t>git reflog</t>
  </si>
  <si>
    <t>Multiple names of commit id</t>
  </si>
  <si>
    <t>commit</t>
  </si>
  <si>
    <t>head</t>
  </si>
  <si>
    <t>tip of the commit</t>
  </si>
  <si>
    <t>sha value</t>
  </si>
  <si>
    <t>hexadecimal number</t>
  </si>
  <si>
    <t>Show all the history of git operations, as per the current head</t>
  </si>
  <si>
    <t>Similar to git merge. But doesn't create extra commit</t>
  </si>
  <si>
    <t>git rebase &lt;newBranch&gt; &lt;oldBranch&gt;</t>
  </si>
  <si>
    <t>Synchronises two branches. The contents of &lt;newBranch&gt; will go to &lt;oldBranch&gt;</t>
  </si>
  <si>
    <t>Show the remote repository to which you're linked</t>
  </si>
  <si>
    <t>git remote -v</t>
  </si>
  <si>
    <t>i</t>
  </si>
  <si>
    <t>Remove the remote repository</t>
  </si>
  <si>
    <t>git remote rm &lt;repositoryName&gt;</t>
  </si>
  <si>
    <t>Add a remote repository to your local repository</t>
  </si>
  <si>
    <t>See all the branches in the local and remote repository</t>
  </si>
  <si>
    <t>git branch -a</t>
  </si>
  <si>
    <t>Merge Strategies</t>
  </si>
  <si>
    <t>mvn validate</t>
  </si>
  <si>
    <t>Validates if the project structure is correct - i.e. pom.xml file format is correct, and if the source code is available</t>
  </si>
  <si>
    <t>Some more maven commands</t>
  </si>
  <si>
    <t>Deploys the package created to the remote server</t>
  </si>
  <si>
    <t>mvn dependency:tree</t>
  </si>
  <si>
    <t>Generates the maven dependency tree</t>
  </si>
  <si>
    <t>mvn dependency:analyze</t>
  </si>
  <si>
    <t>Analyzes the maven project for unused and declared dependencies to reduce the build size, and the used but undeclared dependencies</t>
  </si>
  <si>
    <t>mvn compiler:compile</t>
  </si>
  <si>
    <t>Similar to mvn compile</t>
  </si>
  <si>
    <t>mvn site:site</t>
  </si>
  <si>
    <t>mvn -f &lt;mvn-example-jar/pom.xml&gt; package</t>
  </si>
  <si>
    <t>Builds the maven project from a different location. Useful for building the maven project from a script</t>
  </si>
  <si>
    <t>mvn -o package</t>
  </si>
  <si>
    <t>mvn -q package</t>
  </si>
  <si>
    <t>Builds the project in offline mode. Does not fetch for dependencies online</t>
  </si>
  <si>
    <t>Builds the project in quiet mode. Shows only the test results</t>
  </si>
  <si>
    <t>mvn -x package</t>
  </si>
  <si>
    <t>Debug mode. Shows a lot of debug messages</t>
  </si>
  <si>
    <t>mvn -v</t>
  </si>
  <si>
    <t>Shows the maven version</t>
  </si>
  <si>
    <t>mvn -DskipTests package</t>
  </si>
  <si>
    <t>Skips the unit tests while building the package</t>
  </si>
  <si>
    <t>mvn -T 4 package</t>
  </si>
  <si>
    <t>Builds the project in parallel mode with the specified number of thread counts. Useful while building multiple-module project</t>
  </si>
  <si>
    <t>Creates a site to provide information on the maven project (documentation). Requires some plugin activity</t>
  </si>
  <si>
    <t>We can't declare outer (top level) class as static because the static keyword is meant for providing memory and executing logic without creating Objects. A class does not have a value logic directly, so the static keyword is not allowed for outer class</t>
  </si>
  <si>
    <t>Browser initition for WebDriver</t>
  </si>
  <si>
    <t>System.setProperty("webdriver.chrome.driver", "//chromedriver.exe");</t>
  </si>
  <si>
    <t>Other drivers</t>
  </si>
  <si>
    <t>webdriver.gecko.driver,  "geckodriver.exe"
webdriver.ie.driver, "IEDriverServer.exe"</t>
  </si>
  <si>
    <t>Browser initiation with WebDriverManager dependency</t>
  </si>
  <si>
    <t>WebDriverManager.chromedriver().setup();
WebDriverManager.firefoxdriver().setup();</t>
  </si>
  <si>
    <t>Java</t>
  </si>
  <si>
    <t>Substring</t>
  </si>
  <si>
    <t>Python</t>
  </si>
  <si>
    <t>str.substring(startIndex, endIndex)</t>
  </si>
  <si>
    <t>str[index]</t>
  </si>
  <si>
    <t>Comma separated integers</t>
  </si>
  <si>
    <t>N/A-------</t>
  </si>
  <si>
    <t>use (_) e.g. 12345 = 12_345</t>
  </si>
  <si>
    <t>Number of characters in a string (length)</t>
  </si>
  <si>
    <t>str.length</t>
  </si>
  <si>
    <t>len(str)</t>
  </si>
  <si>
    <t>You cannot concatenate a string with an integer unlike java</t>
  </si>
  <si>
    <t>e.g. System.out.println("I am " +36+ "years old);
Is a valid Java statement BUT</t>
  </si>
  <si>
    <t>print ("I am " +36+ "years old)
will throw 'TypeError'  in Python</t>
  </si>
  <si>
    <t>Get the type of the variable</t>
  </si>
  <si>
    <t>type(variable/function evaluating to an expression)</t>
  </si>
  <si>
    <t>Convert any variable to string</t>
  </si>
  <si>
    <t>varName.toString() ;</t>
  </si>
  <si>
    <t>str(varName)</t>
  </si>
  <si>
    <t>Convert any variable to another type</t>
  </si>
  <si>
    <t>Typecasting</t>
  </si>
  <si>
    <t>Just like above [e.g. float(123)</t>
  </si>
  <si>
    <t>Arithmatic Operators</t>
  </si>
  <si>
    <t>Add</t>
  </si>
  <si>
    <t>+'</t>
  </si>
  <si>
    <t>Subtract</t>
  </si>
  <si>
    <t>-'</t>
  </si>
  <si>
    <t>*'</t>
  </si>
  <si>
    <t>Multiply</t>
  </si>
  <si>
    <t>Divide</t>
  </si>
  <si>
    <t>/'</t>
  </si>
  <si>
    <t>power</t>
  </si>
  <si>
    <t>**'</t>
  </si>
  <si>
    <t>Round off the division result/ floating number</t>
  </si>
  <si>
    <t>round(expression/ float number)</t>
  </si>
  <si>
    <t>Round off the division result/ floating number to given digits of precision</t>
  </si>
  <si>
    <t>round(expression/ float number, precision digit)</t>
  </si>
  <si>
    <t>Flow division (Get only the integer part of the number)</t>
  </si>
  <si>
    <t>Gets by default</t>
  </si>
  <si>
    <t>//'</t>
  </si>
  <si>
    <t>f string: All other datatypes are converted to string before printing</t>
  </si>
  <si>
    <t>Default</t>
  </si>
  <si>
    <t>f"&lt;String&gt;{non-string variables} &lt;String&gt;""</t>
  </si>
  <si>
    <t>for loop</t>
  </si>
  <si>
    <t>for (int i; &lt;condition&gt;; i++)</t>
  </si>
  <si>
    <t>for number in range(&lt;lower limit&gt;, &lt;upper limit&gt;):
for number in range(&lt;lower limit&gt;, &lt;upper limit&gt;, &lt;&lt;range&gt;&gt;):</t>
  </si>
  <si>
    <t>for (element in element-type list)</t>
  </si>
  <si>
    <t>for element in  list:</t>
  </si>
  <si>
    <t>Install Python</t>
  </si>
  <si>
    <t>Install the latest version of python from: https://www.python.org/downloads/</t>
  </si>
  <si>
    <t>Install PyCharm IDE</t>
  </si>
  <si>
    <t>Variable associated with the object</t>
  </si>
  <si>
    <t>How to create class constructor</t>
  </si>
  <si>
    <t>ClassName()
{
   ClassName()
  {
  }
}</t>
  </si>
  <si>
    <t>class ClassName:
    def __init__(self):
        &lt;code&gt;</t>
  </si>
  <si>
    <t>method</t>
  </si>
  <si>
    <t>a function attached to a class</t>
  </si>
  <si>
    <t>Difference between method and function</t>
  </si>
  <si>
    <t>1. Method is attached to a class
2. Method compulsarily has a 'self'  parameter</t>
  </si>
  <si>
    <t>Refer to an object created from the same class instance</t>
  </si>
  <si>
    <t>this</t>
  </si>
  <si>
    <t>self</t>
  </si>
  <si>
    <t>tag [attribute = 'value']</t>
  </si>
  <si>
    <r>
      <rPr>
        <b/>
        <sz val="11"/>
        <color theme="1"/>
        <rFont val="Calibri"/>
        <family val="2"/>
        <scheme val="minor"/>
      </rPr>
      <t>pom.xml file:</t>
    </r>
    <r>
      <rPr>
        <sz val="11"/>
        <color theme="1"/>
        <rFont val="Calibri"/>
        <family val="2"/>
        <scheme val="minor"/>
      </rPr>
      <t xml:space="preserve">
&lt;plugin&gt;
     &lt;artifactId&gt;maven-surefire-plugin&lt;/artifactId&gt;
     &lt;version&gt;2.22.1&lt;/version&gt;
     &lt;configuration&gt;
      &lt;testFailureIgnore&gt;false&lt;/testFailureIgnore&gt;
      &lt;suiteXmlFiles&gt;
       &lt;suiteXmlFile&gt;src\test\resources\prac\mda\runner\testng.xml&lt;/suiteXmlFile&gt;
      &lt;/suiteXmlFiles&gt;
     </t>
    </r>
    <r>
      <rPr>
        <sz val="11"/>
        <color rgb="FFFF0000"/>
        <rFont val="Calibri"/>
        <family val="2"/>
        <scheme val="minor"/>
      </rPr>
      <t xml:space="preserve"> &lt;parallel&gt;methods&lt;/parallel&gt;
      &lt;useUnlimitedThreads&gt;true&lt;/useUnlimitedThreads&gt;</t>
    </r>
    <r>
      <rPr>
        <sz val="11"/>
        <color theme="1"/>
        <rFont val="Calibri"/>
        <family val="2"/>
        <scheme val="minor"/>
      </rPr>
      <t xml:space="preserve">
     &lt;/configuration&gt;
    &lt;/plugin&gt;</t>
    </r>
  </si>
  <si>
    <r>
      <t xml:space="preserve">
</t>
    </r>
    <r>
      <rPr>
        <b/>
        <sz val="11"/>
        <color theme="1"/>
        <rFont val="Calibri"/>
        <family val="2"/>
        <scheme val="minor"/>
      </rPr>
      <t>Add maven compiler plugin: Regular</t>
    </r>
    <r>
      <rPr>
        <sz val="11"/>
        <color theme="1"/>
        <rFont val="Calibri"/>
        <family val="2"/>
        <scheme val="minor"/>
      </rPr>
      <t xml:space="preserve">
&lt;plugin&gt;
     &lt;artifactId&gt;maven-compiler-plugin&lt;/artifactId&gt;
     &lt;version&gt;3.8.0&lt;/version&gt;
     &lt;configuration&gt;
      &lt;source&gt;1.8&lt;/source&gt;
      &lt;target&gt;1.8&lt;/target&gt;
      &lt;fork&gt;true&lt;/fork&gt;
     &lt;/configuration&gt;
    &lt;/plugin&gt;</t>
    </r>
  </si>
  <si>
    <r>
      <t xml:space="preserve">Cucumber Runner class:
@CucumberOptions(&lt;As Regular&gt;)
public class ParallelRunner extends AbstractTestNGCucumberTests
{
 </t>
    </r>
    <r>
      <rPr>
        <sz val="11"/>
        <color rgb="FFFF0000"/>
        <rFont val="Calibri"/>
        <family val="2"/>
        <scheme val="minor"/>
      </rPr>
      <t>@Override
 @DataProvider(parallel=true)
 public Object[][] scenarios()
 {
  return super.scenarios(); 
 }</t>
    </r>
    <r>
      <rPr>
        <sz val="11"/>
        <color theme="1"/>
        <rFont val="Calibri"/>
        <family val="2"/>
        <scheme val="minor"/>
      </rPr>
      <t xml:space="preserve">
}</t>
    </r>
  </si>
  <si>
    <r>
      <t>Additionally, to run the parallel runner with testng.xml:
&lt;suite name="Suite"&gt;
  &lt;test thread-count="5" name="Test"&gt;
    &lt;classes&gt;
      &lt;class name="</t>
    </r>
    <r>
      <rPr>
        <sz val="11"/>
        <color rgb="FFFF0000"/>
        <rFont val="Calibri"/>
        <family val="2"/>
        <scheme val="minor"/>
      </rPr>
      <t>&lt;path of parallel runner class&gt;</t>
    </r>
    <r>
      <rPr>
        <sz val="11"/>
        <color theme="1"/>
        <rFont val="Calibri"/>
        <family val="2"/>
        <scheme val="minor"/>
      </rPr>
      <t>"/&gt;
    &lt;/classes&gt;
  &lt;/test&gt; &lt;!-- Test --&gt;
&lt;/suite&gt; &lt;!-- Suite --&gt;</t>
    </r>
  </si>
  <si>
    <t xml:space="preserve"> </t>
  </si>
  <si>
    <t>Create a table</t>
  </si>
  <si>
    <t>DB Datatypes</t>
  </si>
  <si>
    <r>
      <rPr>
        <b/>
        <sz val="11"/>
        <color theme="1"/>
        <rFont val="Calibri"/>
        <family val="2"/>
        <scheme val="minor"/>
      </rPr>
      <t>Numericals:</t>
    </r>
    <r>
      <rPr>
        <sz val="11"/>
        <color theme="1"/>
        <rFont val="Calibri"/>
        <family val="2"/>
        <scheme val="minor"/>
      </rPr>
      <t xml:space="preserve"> int (255), float(2.55), decimal(02.550) </t>
    </r>
  </si>
  <si>
    <r>
      <rPr>
        <b/>
        <sz val="11"/>
        <color theme="1"/>
        <rFont val="Calibri"/>
        <family val="2"/>
        <scheme val="minor"/>
      </rPr>
      <t>Date Time:</t>
    </r>
    <r>
      <rPr>
        <sz val="11"/>
        <color theme="1"/>
        <rFont val="Calibri"/>
        <family val="2"/>
        <scheme val="minor"/>
      </rPr>
      <t xml:space="preserve"> Date(2022-07-11), DateTime(2022-07-11 05:31:35) Timestamp(Same as DateTime, but in UTC</t>
    </r>
  </si>
  <si>
    <r>
      <rPr>
        <b/>
        <sz val="11"/>
        <color theme="1"/>
        <rFont val="Calibri"/>
        <family val="2"/>
        <scheme val="minor"/>
      </rPr>
      <t>String:</t>
    </r>
    <r>
      <rPr>
        <sz val="11"/>
        <color theme="1"/>
        <rFont val="Calibri"/>
        <family val="2"/>
        <scheme val="minor"/>
      </rPr>
      <t xml:space="preserve"> char(0-255, spaces), VarChar(No trailing spaces, 65535 bytes), blob(stored as BINARY, 65535 bytes)</t>
    </r>
  </si>
  <si>
    <t>Select data from the table</t>
  </si>
  <si>
    <t>Remove a table</t>
  </si>
  <si>
    <t>Add data into the table</t>
  </si>
  <si>
    <r>
      <t xml:space="preserve">select * from &lt;tableName&gt; 
</t>
    </r>
    <r>
      <rPr>
        <b/>
        <sz val="11"/>
        <color theme="1"/>
        <rFont val="Calibri"/>
        <family val="2"/>
        <scheme val="minor"/>
      </rPr>
      <t>e.g.</t>
    </r>
    <r>
      <rPr>
        <sz val="11"/>
        <color theme="1"/>
        <rFont val="Calibri"/>
        <family val="2"/>
        <scheme val="minor"/>
      </rPr>
      <t xml:space="preserve"> select * from superhero</t>
    </r>
  </si>
  <si>
    <r>
      <t xml:space="preserve">drop table &lt;tableName&gt;
</t>
    </r>
    <r>
      <rPr>
        <b/>
        <sz val="11"/>
        <color theme="1"/>
        <rFont val="Calibri"/>
        <family val="2"/>
        <scheme val="minor"/>
      </rPr>
      <t>e.g.</t>
    </r>
    <r>
      <rPr>
        <sz val="11"/>
        <color theme="1"/>
        <rFont val="Calibri"/>
        <family val="2"/>
        <scheme val="minor"/>
      </rPr>
      <t xml:space="preserve"> drop table superhero</t>
    </r>
  </si>
  <si>
    <t>Add multiple data rows into the table</t>
  </si>
  <si>
    <r>
      <t xml:space="preserve">insert into superhero values(&lt;value&gt;, &lt;value&gt;)
</t>
    </r>
    <r>
      <rPr>
        <b/>
        <sz val="11"/>
        <color theme="1"/>
        <rFont val="Calibri"/>
        <family val="2"/>
        <scheme val="minor"/>
      </rPr>
      <t xml:space="preserve">e.g. </t>
    </r>
    <r>
      <rPr>
        <sz val="11"/>
        <color theme="1"/>
        <rFont val="Calibri"/>
        <family val="2"/>
        <scheme val="minor"/>
      </rPr>
      <t>insert into superhero values(001, 'Tony Stark', 'Ironman', 45, 'Marvel')</t>
    </r>
  </si>
  <si>
    <r>
      <t xml:space="preserve">insert into superhero values(&lt;value&gt;, &lt;value&gt;), (&lt;value&gt;, &lt;value&gt;)
</t>
    </r>
    <r>
      <rPr>
        <b/>
        <sz val="11"/>
        <color theme="1"/>
        <rFont val="Calibri"/>
        <family val="2"/>
        <scheme val="minor"/>
      </rPr>
      <t xml:space="preserve">e.g. </t>
    </r>
    <r>
      <rPr>
        <sz val="11"/>
        <color theme="1"/>
        <rFont val="Calibri"/>
        <family val="2"/>
        <scheme val="minor"/>
      </rPr>
      <t>insert into superhero values(005, 'Natasha Romanoff', 'Black Widow', 30, 'Marvel'), (006, 'Clint Barton', 'The Hawk Eye', 40, 'Marvel')</t>
    </r>
  </si>
  <si>
    <t>Update existing table - Add new column</t>
  </si>
  <si>
    <t>Update existing table - Delete a column</t>
  </si>
  <si>
    <r>
      <t xml:space="preserve">alter table &lt;tableName&gt; drop &lt;columnName&gt;
</t>
    </r>
    <r>
      <rPr>
        <b/>
        <sz val="11"/>
        <color theme="1"/>
        <rFont val="Calibri"/>
        <family val="2"/>
        <scheme val="minor"/>
      </rPr>
      <t xml:space="preserve">e.g. </t>
    </r>
    <r>
      <rPr>
        <sz val="11"/>
        <color theme="1"/>
        <rFont val="Calibri"/>
        <family val="2"/>
        <scheme val="minor"/>
      </rPr>
      <t xml:space="preserve">
alter table superhero drop location</t>
    </r>
  </si>
  <si>
    <t>Update existing table - Change a column name</t>
  </si>
  <si>
    <t>Update existing table - Change data for all the columns</t>
  </si>
  <si>
    <r>
      <t xml:space="preserve">update &lt;tableName&gt; set &lt;columnName&gt; = &lt;value&gt;
</t>
    </r>
    <r>
      <rPr>
        <b/>
        <sz val="11"/>
        <color theme="1"/>
        <rFont val="Calibri"/>
        <family val="2"/>
        <scheme val="minor"/>
      </rPr>
      <t xml:space="preserve">e.g. </t>
    </r>
    <r>
      <rPr>
        <sz val="11"/>
        <color theme="1"/>
        <rFont val="Calibri"/>
        <family val="2"/>
        <scheme val="minor"/>
      </rPr>
      <t xml:space="preserve">
update superhero set location = 'New York'</t>
    </r>
  </si>
  <si>
    <t>Select data for specific data values</t>
  </si>
  <si>
    <t>Select data for specific column names</t>
  </si>
  <si>
    <r>
      <t xml:space="preserve">select * from &lt;tableName&gt; where &lt;columnName&gt; = '&lt;value&gt;'
</t>
    </r>
    <r>
      <rPr>
        <b/>
        <sz val="11"/>
        <color theme="1"/>
        <rFont val="Calibri"/>
        <family val="2"/>
        <scheme val="minor"/>
      </rPr>
      <t>e.g.</t>
    </r>
    <r>
      <rPr>
        <sz val="11"/>
        <color theme="1"/>
        <rFont val="Calibri"/>
        <family val="2"/>
        <scheme val="minor"/>
      </rPr>
      <t xml:space="preserve"> select * from superhero where id = 1</t>
    </r>
  </si>
  <si>
    <r>
      <t xml:space="preserve">select &lt;columnName&gt; from &lt;tableName&gt; where &lt;columnName&gt; = '&lt;value&gt;'
</t>
    </r>
    <r>
      <rPr>
        <b/>
        <sz val="11"/>
        <color theme="1"/>
        <rFont val="Calibri"/>
        <family val="2"/>
        <scheme val="minor"/>
      </rPr>
      <t>e.g.</t>
    </r>
    <r>
      <rPr>
        <sz val="11"/>
        <color theme="1"/>
        <rFont val="Calibri"/>
        <family val="2"/>
        <scheme val="minor"/>
      </rPr>
      <t xml:space="preserve"> select superhero_name from superhero where id = 1</t>
    </r>
  </si>
  <si>
    <t>Select data within a range</t>
  </si>
  <si>
    <r>
      <t xml:space="preserve">select &lt;columnName&gt; from &lt;tableName&gt; where &lt;columnName&gt; between '&lt;lowerValue&gt;' and &lt;upperValue&gt;
</t>
    </r>
    <r>
      <rPr>
        <b/>
        <sz val="11"/>
        <color theme="1"/>
        <rFont val="Calibri"/>
        <family val="2"/>
        <scheme val="minor"/>
      </rPr>
      <t>e.g.</t>
    </r>
    <r>
      <rPr>
        <sz val="11"/>
        <color theme="1"/>
        <rFont val="Calibri"/>
        <family val="2"/>
        <scheme val="minor"/>
      </rPr>
      <t xml:space="preserve"> select superhero_name from superhero where id between 1 and 4</t>
    </r>
  </si>
  <si>
    <t>Select data with a condition</t>
  </si>
  <si>
    <r>
      <t xml:space="preserve">select &lt;columnName&gt; from &lt;tableName&gt; where &lt;columnName&gt; </t>
    </r>
    <r>
      <rPr>
        <b/>
        <i/>
        <sz val="11"/>
        <color theme="1"/>
        <rFont val="Calibri"/>
        <family val="2"/>
        <scheme val="minor"/>
      </rPr>
      <t>&lt;condition&gt;</t>
    </r>
    <r>
      <rPr>
        <sz val="11"/>
        <color theme="1"/>
        <rFont val="Calibri"/>
        <family val="2"/>
        <scheme val="minor"/>
      </rPr>
      <t xml:space="preserve"> '&lt;Value&gt;'
</t>
    </r>
    <r>
      <rPr>
        <b/>
        <sz val="11"/>
        <color theme="1"/>
        <rFont val="Calibri"/>
        <family val="2"/>
        <scheme val="minor"/>
      </rPr>
      <t>e.g.</t>
    </r>
    <r>
      <rPr>
        <sz val="11"/>
        <color theme="1"/>
        <rFont val="Calibri"/>
        <family val="2"/>
        <scheme val="minor"/>
      </rPr>
      <t xml:space="preserve"> select superhero_name from superhero where id </t>
    </r>
    <r>
      <rPr>
        <b/>
        <sz val="11"/>
        <color theme="1"/>
        <rFont val="Calibri"/>
        <family val="2"/>
        <scheme val="minor"/>
      </rPr>
      <t xml:space="preserve">&lt; </t>
    </r>
    <r>
      <rPr>
        <sz val="11"/>
        <color theme="1"/>
        <rFont val="Calibri"/>
        <family val="2"/>
        <scheme val="minor"/>
      </rPr>
      <t>4</t>
    </r>
  </si>
  <si>
    <t>Update existing table - Change data for specific column</t>
  </si>
  <si>
    <r>
      <t xml:space="preserve">update &lt;tableName&gt; set &lt;columnName&gt; = &lt;value&gt; where &lt;filterColumnName&gt; = &lt;filterValue&gt;
</t>
    </r>
    <r>
      <rPr>
        <b/>
        <sz val="11"/>
        <color theme="1"/>
        <rFont val="Calibri"/>
        <family val="2"/>
        <scheme val="minor"/>
      </rPr>
      <t xml:space="preserve">e.g. </t>
    </r>
    <r>
      <rPr>
        <sz val="11"/>
        <color theme="1"/>
        <rFont val="Calibri"/>
        <family val="2"/>
        <scheme val="minor"/>
      </rPr>
      <t xml:space="preserve">
update superhero set id = '2' where superhero_name = 'The Hulk'</t>
    </r>
  </si>
  <si>
    <t>Database command line arguments:</t>
  </si>
  <si>
    <t>Create a database</t>
  </si>
  <si>
    <r>
      <t xml:space="preserve">create database &lt;databaseName&gt;;
</t>
    </r>
    <r>
      <rPr>
        <b/>
        <sz val="11"/>
        <color theme="1"/>
        <rFont val="Calibri"/>
        <family val="2"/>
        <scheme val="minor"/>
      </rPr>
      <t>e.g.</t>
    </r>
    <r>
      <rPr>
        <sz val="11"/>
        <color theme="1"/>
        <rFont val="Calibri"/>
        <family val="2"/>
        <scheme val="minor"/>
      </rPr>
      <t xml:space="preserve"> create database studentsDB;</t>
    </r>
  </si>
  <si>
    <t>Switch to the database</t>
  </si>
  <si>
    <r>
      <t xml:space="preserve">use &lt;databaseName&gt;;
</t>
    </r>
    <r>
      <rPr>
        <b/>
        <sz val="11"/>
        <color theme="1"/>
        <rFont val="Calibri"/>
        <family val="2"/>
        <scheme val="minor"/>
      </rPr>
      <t>e.g.</t>
    </r>
    <r>
      <rPr>
        <sz val="11"/>
        <color theme="1"/>
        <rFont val="Calibri"/>
        <family val="2"/>
        <scheme val="minor"/>
      </rPr>
      <t xml:space="preserve"> use studentsDB;</t>
    </r>
  </si>
  <si>
    <t>jar files required for SQL and MySQL connection</t>
  </si>
  <si>
    <r>
      <rPr>
        <b/>
        <sz val="11"/>
        <color theme="1"/>
        <rFont val="Calibri"/>
        <family val="2"/>
        <scheme val="minor"/>
      </rPr>
      <t>MySQL:</t>
    </r>
    <r>
      <rPr>
        <sz val="11"/>
        <color theme="1"/>
        <rFont val="Calibri"/>
        <family val="2"/>
        <scheme val="minor"/>
      </rPr>
      <t xml:space="preserve"> mysql-connector-java</t>
    </r>
  </si>
  <si>
    <t>import java.sql.Connection;
import java.sql.DriverManager;
import java.sql.ResultSet;
import java.sql.ResultSetMetaData;
import java.sql.SQLException;
import java.sql.Statement;
import java.util.ArrayList;
import java.util.List;</t>
  </si>
  <si>
    <t xml:space="preserve">public class DbManager
{
 private static Connection con = null; // for SQL
 private static Connection conn = null; // for MySQL
 </t>
  </si>
  <si>
    <t>public static void setDBConnection() throws SQLException, ClassNotFoundException
 {
  try
  {
   Class.forName(TestConfig.driver);
   con = DriverManager.getConnection(TestConfig.dbConnectionURL,
     TestConfig.dbUserName, TestConfig.dbPassword);
   if (!con.isClosed())
    System.out.println("Successfully connected to SQL server");
  }</t>
  </si>
  <si>
    <t>catch(Exception e)
  {
   System.err.println("Exception: " + e.getMessage());
  }
 }</t>
  </si>
  <si>
    <t>public static List&lt;String&gt; getMySqlQuery(String query) throws SQLException
 {
  Statement st = conn.createStatement();
  ResultSet rs = st.executeQuery(query);
  ResultSetMetaData rsmd =  rs.getMetaData();
  int colNumber = rsmd.getColumnCount();
  List&lt;String&gt; values = new ArrayList&lt;String&gt;();
  while (rs.next())</t>
  </si>
  <si>
    <t>{
   String rowData = "";
   for(int i=1; i&lt;=colNumber; i++)
   {
//    System.out.println(rs.getString(i));
    rowData = rowData.concat(rsmd.getColumnName(i) + ": " + rs.getString(i)).concat("\t");
   }
   values.add(rowData);
  }
  return values;
 }</t>
  </si>
  <si>
    <t>public static List&lt;HashMap&lt;String, String&gt;&gt; getMySqlQueryMap(String query) throws SQLException
 {
  Statement st = conn.createStatement();
  ResultSet rs = st.executeQuery(query);
  ResultSetMetaData rsmd =  rs.getMetaData();
  int colNumber = rsmd.getColumnCount();
  List&lt;HashMap&lt;String, String&gt;&gt; values = new ArrayList&lt;HashMap&lt;String, String&gt;&gt;();
  while (rs.next())</t>
  </si>
  <si>
    <t>{
   HashMap&lt;String, String&gt; row = new HashMap&lt;String, String&gt;();
   for(int i=1; i&lt;=colNumber; i++)
   {
//    System.out.println(rs.getString(i));
    row.put(rsmd.getColumnName(i), rs.getString(i));
   }</t>
  </si>
  <si>
    <t>values.add(row);
  }
  return values;
 }</t>
  </si>
  <si>
    <t>Get the information about DB table</t>
  </si>
  <si>
    <r>
      <t xml:space="preserve">describe &lt;tableName&gt;
</t>
    </r>
    <r>
      <rPr>
        <b/>
        <sz val="11"/>
        <color theme="1"/>
        <rFont val="Calibri"/>
        <family val="2"/>
        <scheme val="minor"/>
      </rPr>
      <t>e.g.</t>
    </r>
    <r>
      <rPr>
        <sz val="11"/>
        <color theme="1"/>
        <rFont val="Calibri"/>
        <family val="2"/>
        <scheme val="minor"/>
      </rPr>
      <t xml:space="preserve"> describe superhero</t>
    </r>
  </si>
  <si>
    <t>// for microsoft jdbc driver
public static String msDriver = "com.microsoft.sqlserver.jdbc.SQLServerDriver";
 public static String msDbConnectionURL = "jdbc:sqlserver://localhost:1433;"
   + "database=Star_Wars;"
   + "encrypt=true;"
   + "trustServerCertificate=true;";</t>
  </si>
  <si>
    <t>public class TestConfig
{
 // SQL Database details
 // jtds jdbc details
 public static String driver = "net.sourceforge.jtds.jdbc.Driver";
 public static String dbConnectionURL = "jdbc:jtds:sqlserver://localhost:1433/Star_Wars";</t>
  </si>
  <si>
    <t xml:space="preserve">public static String dbUserName = "sa";
 public static String dbPassword = "sql";
</t>
  </si>
  <si>
    <t>// MySQL Database details
 public static String mySqlDiver = "com.mysql.cj.jdbc.Driver";
 public static String mySqlURL = "jdbc:mysql://localhost:3306/superheroes";
 public static String mySqlUserName = "root";
 public static String mySqlPassword = "Admin@123";
}</t>
  </si>
  <si>
    <t>Update existing table - Delete a row</t>
  </si>
  <si>
    <r>
      <t xml:space="preserve">delete from &lt;tableName&gt; where &lt;columnName&gt; = '&lt;value&gt;'
</t>
    </r>
    <r>
      <rPr>
        <b/>
        <sz val="11"/>
        <color theme="1"/>
        <rFont val="Calibri"/>
        <family val="2"/>
        <scheme val="minor"/>
      </rPr>
      <t>e.g.</t>
    </r>
    <r>
      <rPr>
        <sz val="11"/>
        <color theme="1"/>
        <rFont val="Calibri"/>
        <family val="2"/>
        <scheme val="minor"/>
      </rPr>
      <t xml:space="preserve"> delete from superhero where id = 7</t>
    </r>
  </si>
  <si>
    <r>
      <rPr>
        <b/>
        <sz val="11"/>
        <color theme="1"/>
        <rFont val="Calibri"/>
        <family val="2"/>
        <scheme val="minor"/>
      </rPr>
      <t>SQL:</t>
    </r>
    <r>
      <rPr>
        <sz val="11"/>
        <color theme="1"/>
        <rFont val="Calibri"/>
        <family val="2"/>
        <scheme val="minor"/>
      </rPr>
      <t xml:space="preserve"> jtds, Microsoft SQL Server Driver</t>
    </r>
  </si>
  <si>
    <t>Select unique record from db column</t>
  </si>
  <si>
    <r>
      <t xml:space="preserve">select distinct &lt;columnName&gt; from &lt;tableName&gt;
</t>
    </r>
    <r>
      <rPr>
        <b/>
        <sz val="11"/>
        <color theme="1"/>
        <rFont val="Calibri"/>
        <family val="2"/>
        <scheme val="minor"/>
      </rPr>
      <t>e.g.</t>
    </r>
    <r>
      <rPr>
        <sz val="11"/>
        <color theme="1"/>
        <rFont val="Calibri"/>
        <family val="2"/>
        <scheme val="minor"/>
      </rPr>
      <t xml:space="preserve"> select distinct FirstName from student</t>
    </r>
  </si>
  <si>
    <t xml:space="preserve">Select data with multiple conditions - AND </t>
  </si>
  <si>
    <r>
      <t xml:space="preserve">select &lt;columnName&gt; from &lt;tableName&gt; where &lt;columnName1&gt; </t>
    </r>
    <r>
      <rPr>
        <b/>
        <i/>
        <sz val="11"/>
        <color theme="1"/>
        <rFont val="Calibri"/>
        <family val="2"/>
        <scheme val="minor"/>
      </rPr>
      <t>&lt;condition&gt;</t>
    </r>
    <r>
      <rPr>
        <sz val="11"/>
        <color theme="1"/>
        <rFont val="Calibri"/>
        <family val="2"/>
        <scheme val="minor"/>
      </rPr>
      <t xml:space="preserve"> '&lt;Value1&gt;' and  &lt;columnName2&gt; &lt;condition&gt; '&lt;Value2&gt;' 
</t>
    </r>
    <r>
      <rPr>
        <b/>
        <sz val="11"/>
        <color theme="1"/>
        <rFont val="Calibri"/>
        <family val="2"/>
        <scheme val="minor"/>
      </rPr>
      <t>e.g.</t>
    </r>
    <r>
      <rPr>
        <sz val="11"/>
        <color theme="1"/>
        <rFont val="Calibri"/>
        <family val="2"/>
        <scheme val="minor"/>
      </rPr>
      <t xml:space="preserve"> select superhero_name from superhero where id </t>
    </r>
    <r>
      <rPr>
        <b/>
        <sz val="11"/>
        <color theme="1"/>
        <rFont val="Calibri"/>
        <family val="2"/>
        <scheme val="minor"/>
      </rPr>
      <t xml:space="preserve">&lt; </t>
    </r>
    <r>
      <rPr>
        <sz val="11"/>
        <color theme="1"/>
        <rFont val="Calibri"/>
        <family val="2"/>
        <scheme val="minor"/>
      </rPr>
      <t>4 and age &lt; 50</t>
    </r>
  </si>
  <si>
    <t>Select data with multiple conditions - OR</t>
  </si>
  <si>
    <r>
      <t xml:space="preserve">select &lt;columnName&gt; from &lt;tableName&gt; where &lt;columnName1&gt; </t>
    </r>
    <r>
      <rPr>
        <b/>
        <i/>
        <sz val="11"/>
        <color theme="1"/>
        <rFont val="Calibri"/>
        <family val="2"/>
        <scheme val="minor"/>
      </rPr>
      <t>&lt;condition&gt;</t>
    </r>
    <r>
      <rPr>
        <sz val="11"/>
        <color theme="1"/>
        <rFont val="Calibri"/>
        <family val="2"/>
        <scheme val="minor"/>
      </rPr>
      <t xml:space="preserve"> '&lt;Value1&gt;' or  &lt;columnName2&gt; &lt;condition&gt; '&lt;Value2&gt;' 
</t>
    </r>
    <r>
      <rPr>
        <b/>
        <sz val="11"/>
        <color theme="1"/>
        <rFont val="Calibri"/>
        <family val="2"/>
        <scheme val="minor"/>
      </rPr>
      <t>e.g.</t>
    </r>
    <r>
      <rPr>
        <sz val="11"/>
        <color theme="1"/>
        <rFont val="Calibri"/>
        <family val="2"/>
        <scheme val="minor"/>
      </rPr>
      <t xml:space="preserve"> select superhero_name from superhero where id </t>
    </r>
    <r>
      <rPr>
        <b/>
        <sz val="11"/>
        <color theme="1"/>
        <rFont val="Calibri"/>
        <family val="2"/>
        <scheme val="minor"/>
      </rPr>
      <t xml:space="preserve">&lt; </t>
    </r>
    <r>
      <rPr>
        <sz val="11"/>
        <color theme="1"/>
        <rFont val="Calibri"/>
        <family val="2"/>
        <scheme val="minor"/>
      </rPr>
      <t>4 or age &lt; 50</t>
    </r>
  </si>
  <si>
    <t xml:space="preserve">Select data with multiple AND/ OR </t>
  </si>
  <si>
    <r>
      <t xml:space="preserve">select &lt;columnName&gt; from &lt;tableName&gt; where (&lt;columnName1&gt; </t>
    </r>
    <r>
      <rPr>
        <b/>
        <i/>
        <sz val="11"/>
        <color theme="1"/>
        <rFont val="Calibri"/>
        <family val="2"/>
        <scheme val="minor"/>
      </rPr>
      <t>&lt;condition&gt;</t>
    </r>
    <r>
      <rPr>
        <sz val="11"/>
        <color theme="1"/>
        <rFont val="Calibri"/>
        <family val="2"/>
        <scheme val="minor"/>
      </rPr>
      <t xml:space="preserve"> '&lt;Value1&gt;' and &lt;columnName2&gt; </t>
    </r>
    <r>
      <rPr>
        <b/>
        <i/>
        <sz val="11"/>
        <color theme="1"/>
        <rFont val="Calibri"/>
        <family val="2"/>
        <scheme val="minor"/>
      </rPr>
      <t>&lt;condition&gt;</t>
    </r>
    <r>
      <rPr>
        <sz val="11"/>
        <color theme="1"/>
        <rFont val="Calibri"/>
        <family val="2"/>
        <scheme val="minor"/>
      </rPr>
      <t xml:space="preserve"> '&lt;Value2&gt;') of &lt;columnName2&gt; </t>
    </r>
    <r>
      <rPr>
        <b/>
        <i/>
        <sz val="11"/>
        <color theme="1"/>
        <rFont val="Calibri"/>
        <family val="2"/>
        <scheme val="minor"/>
      </rPr>
      <t>&lt;condition&gt;</t>
    </r>
    <r>
      <rPr>
        <sz val="11"/>
        <color theme="1"/>
        <rFont val="Calibri"/>
        <family val="2"/>
        <scheme val="minor"/>
      </rPr>
      <t xml:space="preserve"> '&lt;Value2&gt;'
</t>
    </r>
    <r>
      <rPr>
        <b/>
        <sz val="11"/>
        <color theme="1"/>
        <rFont val="Calibri"/>
        <family val="2"/>
        <scheme val="minor"/>
      </rPr>
      <t>e.g.</t>
    </r>
    <r>
      <rPr>
        <sz val="11"/>
        <color theme="1"/>
        <rFont val="Calibri"/>
        <family val="2"/>
        <scheme val="minor"/>
      </rPr>
      <t xml:space="preserve"> select superhero_name from superhero where (id </t>
    </r>
    <r>
      <rPr>
        <b/>
        <sz val="11"/>
        <color theme="1"/>
        <rFont val="Calibri"/>
        <family val="2"/>
        <scheme val="minor"/>
      </rPr>
      <t xml:space="preserve">&lt; </t>
    </r>
    <r>
      <rPr>
        <sz val="11"/>
        <color theme="1"/>
        <rFont val="Calibri"/>
        <family val="2"/>
        <scheme val="minor"/>
      </rPr>
      <t>4 and age &lt; 50) or person_name = 'Steve Rogers'</t>
    </r>
  </si>
  <si>
    <r>
      <t xml:space="preserve">select &lt;columnName&gt; from &lt;tableName&gt; where &lt;columnName1&gt; </t>
    </r>
    <r>
      <rPr>
        <b/>
        <i/>
        <sz val="11"/>
        <color theme="1"/>
        <rFont val="Calibri"/>
        <family val="2"/>
        <scheme val="minor"/>
      </rPr>
      <t>in</t>
    </r>
    <r>
      <rPr>
        <sz val="11"/>
        <color theme="1"/>
        <rFont val="Calibri"/>
        <family val="2"/>
        <scheme val="minor"/>
      </rPr>
      <t xml:space="preserve">('&lt;Value1&gt;', '&lt;Value2&gt;', '&lt;Value3&gt;','&lt;Value4&gt;')
</t>
    </r>
    <r>
      <rPr>
        <b/>
        <sz val="11"/>
        <color theme="1"/>
        <rFont val="Calibri"/>
        <family val="2"/>
        <scheme val="minor"/>
      </rPr>
      <t>e.g.</t>
    </r>
    <r>
      <rPr>
        <sz val="11"/>
        <color theme="1"/>
        <rFont val="Calibri"/>
        <family val="2"/>
        <scheme val="minor"/>
      </rPr>
      <t xml:space="preserve"> select superhero_name from superhero where age in( 30, 45, 50)</t>
    </r>
  </si>
  <si>
    <t>Select data within a given group</t>
  </si>
  <si>
    <t>Select data within a given range</t>
  </si>
  <si>
    <r>
      <t xml:space="preserve">select &lt;columnName&gt; from &lt;tableName&gt; where &lt;columnName1&gt; </t>
    </r>
    <r>
      <rPr>
        <b/>
        <i/>
        <sz val="11"/>
        <color theme="1"/>
        <rFont val="Calibri"/>
        <family val="2"/>
        <scheme val="minor"/>
      </rPr>
      <t>between</t>
    </r>
    <r>
      <rPr>
        <sz val="11"/>
        <color theme="1"/>
        <rFont val="Calibri"/>
        <family val="2"/>
        <scheme val="minor"/>
      </rPr>
      <t xml:space="preserve">'&lt;rangeValue1&gt;' </t>
    </r>
    <r>
      <rPr>
        <b/>
        <i/>
        <sz val="11"/>
        <color theme="1"/>
        <rFont val="Calibri"/>
        <family val="2"/>
        <scheme val="minor"/>
      </rPr>
      <t>and</t>
    </r>
    <r>
      <rPr>
        <sz val="11"/>
        <color theme="1"/>
        <rFont val="Calibri"/>
        <family val="2"/>
        <scheme val="minor"/>
      </rPr>
      <t xml:space="preserve">'&lt;rangeValue2&gt;'
</t>
    </r>
    <r>
      <rPr>
        <b/>
        <sz val="11"/>
        <color theme="1"/>
        <rFont val="Calibri"/>
        <family val="2"/>
        <scheme val="minor"/>
      </rPr>
      <t>e.g.</t>
    </r>
    <r>
      <rPr>
        <sz val="11"/>
        <color theme="1"/>
        <rFont val="Calibri"/>
        <family val="2"/>
        <scheme val="minor"/>
      </rPr>
      <t xml:space="preserve"> select * from superhero where age between 25 and 99</t>
    </r>
  </si>
  <si>
    <t>Avoid data in the given range</t>
  </si>
  <si>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where</t>
    </r>
    <r>
      <rPr>
        <sz val="11"/>
        <color theme="1"/>
        <rFont val="Calibri"/>
        <family val="2"/>
        <scheme val="minor"/>
      </rPr>
      <t xml:space="preserve"> &lt;columnName1&gt; </t>
    </r>
    <r>
      <rPr>
        <b/>
        <i/>
        <sz val="11"/>
        <color theme="1"/>
        <rFont val="Calibri"/>
        <family val="2"/>
        <scheme val="minor"/>
      </rPr>
      <t>not between</t>
    </r>
    <r>
      <rPr>
        <sz val="11"/>
        <color theme="1"/>
        <rFont val="Calibri"/>
        <family val="2"/>
        <scheme val="minor"/>
      </rPr>
      <t xml:space="preserve">'&lt;rangeValue1&gt;' </t>
    </r>
    <r>
      <rPr>
        <b/>
        <i/>
        <sz val="11"/>
        <color theme="1"/>
        <rFont val="Calibri"/>
        <family val="2"/>
        <scheme val="minor"/>
      </rPr>
      <t>and</t>
    </r>
    <r>
      <rPr>
        <sz val="11"/>
        <color theme="1"/>
        <rFont val="Calibri"/>
        <family val="2"/>
        <scheme val="minor"/>
      </rPr>
      <t xml:space="preserve">'&lt;rangeValue2&gt;'
</t>
    </r>
    <r>
      <rPr>
        <b/>
        <sz val="11"/>
        <color theme="1"/>
        <rFont val="Calibri"/>
        <family val="2"/>
        <scheme val="minor"/>
      </rPr>
      <t>e.g.</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superhero </t>
    </r>
    <r>
      <rPr>
        <b/>
        <i/>
        <sz val="11"/>
        <color theme="1"/>
        <rFont val="Calibri"/>
        <family val="2"/>
        <scheme val="minor"/>
      </rPr>
      <t>where</t>
    </r>
    <r>
      <rPr>
        <sz val="11"/>
        <color theme="1"/>
        <rFont val="Calibri"/>
        <family val="2"/>
        <scheme val="minor"/>
      </rPr>
      <t xml:space="preserve"> age </t>
    </r>
    <r>
      <rPr>
        <b/>
        <i/>
        <sz val="11"/>
        <color theme="1"/>
        <rFont val="Calibri"/>
        <family val="2"/>
        <scheme val="minor"/>
      </rPr>
      <t>not between</t>
    </r>
    <r>
      <rPr>
        <sz val="11"/>
        <color theme="1"/>
        <rFont val="Calibri"/>
        <family val="2"/>
        <scheme val="minor"/>
      </rPr>
      <t xml:space="preserve"> 25 </t>
    </r>
    <r>
      <rPr>
        <b/>
        <i/>
        <sz val="11"/>
        <color theme="1"/>
        <rFont val="Calibri"/>
        <family val="2"/>
        <scheme val="minor"/>
      </rPr>
      <t>and</t>
    </r>
    <r>
      <rPr>
        <sz val="11"/>
        <color theme="1"/>
        <rFont val="Calibri"/>
        <family val="2"/>
        <scheme val="minor"/>
      </rPr>
      <t xml:space="preserve"> 99</t>
    </r>
  </si>
  <si>
    <t>Regular Expressions in SQL</t>
  </si>
  <si>
    <t>Any number of characters in the string</t>
  </si>
  <si>
    <t>_ (underscore)</t>
  </si>
  <si>
    <t>Single character in the place</t>
  </si>
  <si>
    <t>% (percentile)</t>
  </si>
  <si>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where</t>
    </r>
    <r>
      <rPr>
        <sz val="11"/>
        <color theme="1"/>
        <rFont val="Calibri"/>
        <family val="2"/>
        <scheme val="minor"/>
      </rPr>
      <t xml:space="preserve"> &lt;columnName1&gt; </t>
    </r>
    <r>
      <rPr>
        <b/>
        <i/>
        <sz val="11"/>
        <color theme="1"/>
        <rFont val="Calibri"/>
        <family val="2"/>
        <scheme val="minor"/>
      </rPr>
      <t>like</t>
    </r>
    <r>
      <rPr>
        <sz val="11"/>
        <color theme="1"/>
        <rFont val="Calibri"/>
        <family val="2"/>
        <scheme val="minor"/>
      </rPr>
      <t xml:space="preserve">'&lt;Value1&gt;%' 
</t>
    </r>
    <r>
      <rPr>
        <b/>
        <sz val="11"/>
        <color theme="1"/>
        <rFont val="Calibri"/>
        <family val="2"/>
        <scheme val="minor"/>
      </rPr>
      <t>e.g.</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city </t>
    </r>
    <r>
      <rPr>
        <b/>
        <i/>
        <sz val="11"/>
        <color theme="1"/>
        <rFont val="Calibri"/>
        <family val="2"/>
        <scheme val="minor"/>
      </rPr>
      <t>where</t>
    </r>
    <r>
      <rPr>
        <sz val="11"/>
        <color theme="1"/>
        <rFont val="Calibri"/>
        <family val="2"/>
        <scheme val="minor"/>
      </rPr>
      <t xml:space="preserve"> countrycode </t>
    </r>
    <r>
      <rPr>
        <b/>
        <i/>
        <sz val="11"/>
        <color theme="1"/>
        <rFont val="Calibri"/>
        <family val="2"/>
        <scheme val="minor"/>
      </rPr>
      <t>like</t>
    </r>
    <r>
      <rPr>
        <sz val="11"/>
        <color theme="1"/>
        <rFont val="Calibri"/>
        <family val="2"/>
        <scheme val="minor"/>
      </rPr>
      <t xml:space="preserve"> 'a%'</t>
    </r>
  </si>
  <si>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where</t>
    </r>
    <r>
      <rPr>
        <sz val="11"/>
        <color theme="1"/>
        <rFont val="Calibri"/>
        <family val="2"/>
        <scheme val="minor"/>
      </rPr>
      <t xml:space="preserve"> &lt;columnName1&gt; </t>
    </r>
    <r>
      <rPr>
        <b/>
        <i/>
        <sz val="11"/>
        <color theme="1"/>
        <rFont val="Calibri"/>
        <family val="2"/>
        <scheme val="minor"/>
      </rPr>
      <t>like</t>
    </r>
    <r>
      <rPr>
        <sz val="11"/>
        <color theme="1"/>
        <rFont val="Calibri"/>
        <family val="2"/>
        <scheme val="minor"/>
      </rPr>
      <t xml:space="preserve">'__&lt;Value1&gt;%' 
</t>
    </r>
    <r>
      <rPr>
        <b/>
        <sz val="11"/>
        <color theme="1"/>
        <rFont val="Calibri"/>
        <family val="2"/>
        <scheme val="minor"/>
      </rPr>
      <t>e.g.</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city </t>
    </r>
    <r>
      <rPr>
        <b/>
        <i/>
        <sz val="11"/>
        <color theme="1"/>
        <rFont val="Calibri"/>
        <family val="2"/>
        <scheme val="minor"/>
      </rPr>
      <t>where</t>
    </r>
    <r>
      <rPr>
        <sz val="11"/>
        <color theme="1"/>
        <rFont val="Calibri"/>
        <family val="2"/>
        <scheme val="minor"/>
      </rPr>
      <t xml:space="preserve"> countrycode </t>
    </r>
    <r>
      <rPr>
        <b/>
        <i/>
        <sz val="11"/>
        <color theme="1"/>
        <rFont val="Calibri"/>
        <family val="2"/>
        <scheme val="minor"/>
      </rPr>
      <t>like</t>
    </r>
    <r>
      <rPr>
        <sz val="11"/>
        <color theme="1"/>
        <rFont val="Calibri"/>
        <family val="2"/>
        <scheme val="minor"/>
      </rPr>
      <t xml:space="preserve"> '__t%'</t>
    </r>
  </si>
  <si>
    <t>Sort the data in sql result : order by</t>
  </si>
  <si>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order by</t>
    </r>
    <r>
      <rPr>
        <sz val="11"/>
        <color theme="1"/>
        <rFont val="Calibri"/>
        <family val="2"/>
        <scheme val="minor"/>
      </rPr>
      <t xml:space="preserve"> &lt;columnName1&gt; 
</t>
    </r>
    <r>
      <rPr>
        <b/>
        <sz val="11"/>
        <color theme="1"/>
        <rFont val="Calibri"/>
        <family val="2"/>
        <scheme val="minor"/>
      </rPr>
      <t>e.g.</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superhero </t>
    </r>
    <r>
      <rPr>
        <b/>
        <i/>
        <sz val="11"/>
        <color theme="1"/>
        <rFont val="Calibri"/>
        <family val="2"/>
        <scheme val="minor"/>
      </rPr>
      <t xml:space="preserve">order by </t>
    </r>
    <r>
      <rPr>
        <sz val="11"/>
        <color theme="1"/>
        <rFont val="Calibri"/>
        <family val="2"/>
        <scheme val="minor"/>
      </rPr>
      <t>superhero_name</t>
    </r>
  </si>
  <si>
    <t>Sort the data in descending order: order by &lt;&gt; descending</t>
  </si>
  <si>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order by</t>
    </r>
    <r>
      <rPr>
        <sz val="11"/>
        <color theme="1"/>
        <rFont val="Calibri"/>
        <family val="2"/>
        <scheme val="minor"/>
      </rPr>
      <t xml:space="preserve"> &lt;columnName1&gt; </t>
    </r>
    <r>
      <rPr>
        <b/>
        <i/>
        <sz val="11"/>
        <color theme="1"/>
        <rFont val="Calibri"/>
        <family val="2"/>
        <scheme val="minor"/>
      </rPr>
      <t>desc</t>
    </r>
    <r>
      <rPr>
        <sz val="11"/>
        <color theme="1"/>
        <rFont val="Calibri"/>
        <family val="2"/>
        <scheme val="minor"/>
      </rPr>
      <t xml:space="preserve">
</t>
    </r>
    <r>
      <rPr>
        <b/>
        <sz val="11"/>
        <color theme="1"/>
        <rFont val="Calibri"/>
        <family val="2"/>
        <scheme val="minor"/>
      </rPr>
      <t>e.g.</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superhero </t>
    </r>
    <r>
      <rPr>
        <b/>
        <i/>
        <sz val="11"/>
        <color theme="1"/>
        <rFont val="Calibri"/>
        <family val="2"/>
        <scheme val="minor"/>
      </rPr>
      <t xml:space="preserve">order by </t>
    </r>
    <r>
      <rPr>
        <sz val="11"/>
        <color theme="1"/>
        <rFont val="Calibri"/>
        <family val="2"/>
        <scheme val="minor"/>
      </rPr>
      <t xml:space="preserve">superhero_name </t>
    </r>
    <r>
      <rPr>
        <b/>
        <i/>
        <sz val="11"/>
        <color theme="1"/>
        <rFont val="Calibri"/>
        <family val="2"/>
        <scheme val="minor"/>
      </rPr>
      <t>desc</t>
    </r>
  </si>
  <si>
    <t>Group data having similar values in a column: group by</t>
  </si>
  <si>
    <r>
      <rPr>
        <b/>
        <i/>
        <sz val="11"/>
        <color theme="1"/>
        <rFont val="Calibri"/>
        <family val="2"/>
        <scheme val="minor"/>
      </rPr>
      <t>select</t>
    </r>
    <r>
      <rPr>
        <sz val="11"/>
        <color theme="1"/>
        <rFont val="Calibri"/>
        <family val="2"/>
        <scheme val="minor"/>
      </rPr>
      <t xml:space="preserve"> &lt;columnName&gt; </t>
    </r>
    <r>
      <rPr>
        <b/>
        <i/>
        <sz val="11"/>
        <color theme="1"/>
        <rFont val="Calibri"/>
        <family val="2"/>
        <scheme val="minor"/>
      </rPr>
      <t>from</t>
    </r>
    <r>
      <rPr>
        <sz val="11"/>
        <color theme="1"/>
        <rFont val="Calibri"/>
        <family val="2"/>
        <scheme val="minor"/>
      </rPr>
      <t xml:space="preserve"> &lt;tableName&gt; </t>
    </r>
    <r>
      <rPr>
        <b/>
        <i/>
        <sz val="11"/>
        <color theme="1"/>
        <rFont val="Calibri"/>
        <family val="2"/>
        <scheme val="minor"/>
      </rPr>
      <t>order by</t>
    </r>
    <r>
      <rPr>
        <sz val="11"/>
        <color theme="1"/>
        <rFont val="Calibri"/>
        <family val="2"/>
        <scheme val="minor"/>
      </rPr>
      <t xml:space="preserve"> &lt;columnName1&gt; </t>
    </r>
    <r>
      <rPr>
        <b/>
        <i/>
        <sz val="11"/>
        <color theme="1"/>
        <rFont val="Calibri"/>
        <family val="2"/>
        <scheme val="minor"/>
      </rPr>
      <t>desc</t>
    </r>
    <r>
      <rPr>
        <sz val="11"/>
        <color theme="1"/>
        <rFont val="Calibri"/>
        <family val="2"/>
        <scheme val="minor"/>
      </rPr>
      <t xml:space="preserve">
</t>
    </r>
    <r>
      <rPr>
        <b/>
        <sz val="11"/>
        <color theme="1"/>
        <rFont val="Calibri"/>
        <family val="2"/>
        <scheme val="minor"/>
      </rPr>
      <t>e.g.</t>
    </r>
    <r>
      <rPr>
        <sz val="11"/>
        <color theme="1"/>
        <rFont val="Calibri"/>
        <family val="2"/>
        <scheme val="minor"/>
      </rPr>
      <t xml:space="preserve"> </t>
    </r>
    <r>
      <rPr>
        <b/>
        <i/>
        <sz val="11"/>
        <color theme="1"/>
        <rFont val="Calibri"/>
        <family val="2"/>
        <scheme val="minor"/>
      </rPr>
      <t>select *</t>
    </r>
    <r>
      <rPr>
        <sz val="11"/>
        <color theme="1"/>
        <rFont val="Calibri"/>
        <family val="2"/>
        <scheme val="minor"/>
      </rPr>
      <t xml:space="preserve"> </t>
    </r>
    <r>
      <rPr>
        <b/>
        <i/>
        <sz val="11"/>
        <color theme="1"/>
        <rFont val="Calibri"/>
        <family val="2"/>
        <scheme val="minor"/>
      </rPr>
      <t>from</t>
    </r>
    <r>
      <rPr>
        <sz val="11"/>
        <color theme="1"/>
        <rFont val="Calibri"/>
        <family val="2"/>
        <scheme val="minor"/>
      </rPr>
      <t xml:space="preserve"> transactions </t>
    </r>
    <r>
      <rPr>
        <b/>
        <i/>
        <sz val="11"/>
        <color theme="1"/>
        <rFont val="Calibri"/>
        <family val="2"/>
        <scheme val="minor"/>
      </rPr>
      <t xml:space="preserve">group by </t>
    </r>
    <r>
      <rPr>
        <sz val="11"/>
        <color theme="1"/>
        <rFont val="Calibri"/>
        <family val="2"/>
        <scheme val="minor"/>
      </rPr>
      <t>Month</t>
    </r>
  </si>
  <si>
    <t>Aggregate funations: Perform operations on the table data</t>
  </si>
  <si>
    <r>
      <t xml:space="preserve">SELECT Month, </t>
    </r>
    <r>
      <rPr>
        <b/>
        <i/>
        <sz val="11"/>
        <color theme="1"/>
        <rFont val="Calibri"/>
        <family val="2"/>
        <scheme val="minor"/>
      </rPr>
      <t>sum(</t>
    </r>
    <r>
      <rPr>
        <sz val="11"/>
        <color theme="1"/>
        <rFont val="Calibri"/>
        <family val="2"/>
        <scheme val="minor"/>
      </rPr>
      <t>Amount</t>
    </r>
    <r>
      <rPr>
        <b/>
        <i/>
        <sz val="11"/>
        <color theme="1"/>
        <rFont val="Calibri"/>
        <family val="2"/>
        <scheme val="minor"/>
      </rPr>
      <t>) FROM</t>
    </r>
    <r>
      <rPr>
        <sz val="11"/>
        <color theme="1"/>
        <rFont val="Calibri"/>
        <family val="2"/>
        <scheme val="minor"/>
      </rPr>
      <t xml:space="preserve"> transactions </t>
    </r>
    <r>
      <rPr>
        <b/>
        <i/>
        <sz val="11"/>
        <color theme="1"/>
        <rFont val="Calibri"/>
        <family val="2"/>
        <scheme val="minor"/>
      </rPr>
      <t>group by</t>
    </r>
    <r>
      <rPr>
        <sz val="11"/>
        <color theme="1"/>
        <rFont val="Calibri"/>
        <family val="2"/>
        <scheme val="minor"/>
      </rPr>
      <t xml:space="preserve"> Month</t>
    </r>
  </si>
  <si>
    <t>SELECT Month, max(Amount) FROM studentsdb.transactions group by Month;</t>
  </si>
  <si>
    <t>SELECT Month, min(Amount) FROM studentsdb.transactions group by Month;</t>
  </si>
  <si>
    <t>SELECT Month, count(*) FROM studentsdb.transactions group by Month;</t>
  </si>
  <si>
    <t>SELECT Month, Avg(Amount) FROM studentsdb.transactions group by Month</t>
  </si>
  <si>
    <t>Having keyword</t>
  </si>
  <si>
    <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citizens </t>
    </r>
    <r>
      <rPr>
        <b/>
        <i/>
        <sz val="11"/>
        <color theme="1"/>
        <rFont val="Calibri"/>
        <family val="2"/>
        <scheme val="minor"/>
      </rPr>
      <t>where</t>
    </r>
    <r>
      <rPr>
        <sz val="11"/>
        <color theme="1"/>
        <rFont val="Calibri"/>
        <family val="2"/>
        <scheme val="minor"/>
      </rPr>
      <t xml:space="preserve"> Person_name </t>
    </r>
    <r>
      <rPr>
        <b/>
        <i/>
        <sz val="11"/>
        <color theme="1"/>
        <rFont val="Calibri"/>
        <family val="2"/>
        <scheme val="minor"/>
      </rPr>
      <t>in</t>
    </r>
    <r>
      <rPr>
        <sz val="11"/>
        <color theme="1"/>
        <rFont val="Calibri"/>
        <family val="2"/>
        <scheme val="minor"/>
      </rPr>
      <t xml:space="preserve"> 
</t>
    </r>
    <r>
      <rPr>
        <b/>
        <i/>
        <sz val="11"/>
        <color theme="1"/>
        <rFont val="Calibri"/>
        <family val="2"/>
        <scheme val="minor"/>
      </rPr>
      <t>(</t>
    </r>
    <r>
      <rPr>
        <b/>
        <i/>
        <u/>
        <sz val="11"/>
        <color theme="1"/>
        <rFont val="Calibri"/>
        <family val="2"/>
        <scheme val="minor"/>
      </rPr>
      <t>select</t>
    </r>
    <r>
      <rPr>
        <u/>
        <sz val="11"/>
        <color theme="1"/>
        <rFont val="Calibri"/>
        <family val="2"/>
        <scheme val="minor"/>
      </rPr>
      <t xml:space="preserve"> Person_name </t>
    </r>
    <r>
      <rPr>
        <b/>
        <i/>
        <u/>
        <sz val="11"/>
        <color theme="1"/>
        <rFont val="Calibri"/>
        <family val="2"/>
        <scheme val="minor"/>
      </rPr>
      <t>from</t>
    </r>
    <r>
      <rPr>
        <u/>
        <sz val="11"/>
        <color theme="1"/>
        <rFont val="Calibri"/>
        <family val="2"/>
        <scheme val="minor"/>
      </rPr>
      <t xml:space="preserve"> citizen_locations </t>
    </r>
    <r>
      <rPr>
        <b/>
        <i/>
        <u/>
        <sz val="11"/>
        <color theme="1"/>
        <rFont val="Calibri"/>
        <family val="2"/>
        <scheme val="minor"/>
      </rPr>
      <t>where</t>
    </r>
    <r>
      <rPr>
        <u/>
        <sz val="11"/>
        <color theme="1"/>
        <rFont val="Calibri"/>
        <family val="2"/>
        <scheme val="minor"/>
      </rPr>
      <t xml:space="preserve"> location = 'California'</t>
    </r>
    <r>
      <rPr>
        <sz val="11"/>
        <color theme="1"/>
        <rFont val="Calibri"/>
        <family val="2"/>
        <scheme val="minor"/>
      </rPr>
      <t>);</t>
    </r>
  </si>
  <si>
    <r>
      <rPr>
        <b/>
        <i/>
        <sz val="11"/>
        <color theme="1"/>
        <rFont val="Calibri"/>
        <family val="2"/>
        <scheme val="minor"/>
      </rPr>
      <t>select</t>
    </r>
    <r>
      <rPr>
        <sz val="11"/>
        <color theme="1"/>
        <rFont val="Calibri"/>
        <family val="2"/>
        <scheme val="minor"/>
      </rPr>
      <t xml:space="preserve"> c.Person_name, c.age, cl.location </t>
    </r>
    <r>
      <rPr>
        <b/>
        <i/>
        <sz val="11"/>
        <color theme="1"/>
        <rFont val="Calibri"/>
        <family val="2"/>
        <scheme val="minor"/>
      </rPr>
      <t>from</t>
    </r>
    <r>
      <rPr>
        <sz val="11"/>
        <color theme="1"/>
        <rFont val="Calibri"/>
        <family val="2"/>
        <scheme val="minor"/>
      </rPr>
      <t xml:space="preserve"> citizens </t>
    </r>
    <r>
      <rPr>
        <b/>
        <i/>
        <sz val="11"/>
        <color theme="1"/>
        <rFont val="Calibri"/>
        <family val="2"/>
        <scheme val="minor"/>
      </rPr>
      <t>as</t>
    </r>
    <r>
      <rPr>
        <sz val="11"/>
        <color theme="1"/>
        <rFont val="Calibri"/>
        <family val="2"/>
        <scheme val="minor"/>
      </rPr>
      <t xml:space="preserve"> c
 </t>
    </r>
    <r>
      <rPr>
        <b/>
        <i/>
        <sz val="11"/>
        <color theme="1"/>
        <rFont val="Calibri"/>
        <family val="2"/>
        <scheme val="minor"/>
      </rPr>
      <t>join</t>
    </r>
    <r>
      <rPr>
        <sz val="11"/>
        <color theme="1"/>
        <rFont val="Calibri"/>
        <family val="2"/>
        <scheme val="minor"/>
      </rPr>
      <t xml:space="preserve"> citizen_locations </t>
    </r>
    <r>
      <rPr>
        <b/>
        <i/>
        <sz val="11"/>
        <color theme="1"/>
        <rFont val="Calibri"/>
        <family val="2"/>
        <scheme val="minor"/>
      </rPr>
      <t>as</t>
    </r>
    <r>
      <rPr>
        <sz val="11"/>
        <color theme="1"/>
        <rFont val="Calibri"/>
        <family val="2"/>
        <scheme val="minor"/>
      </rPr>
      <t xml:space="preserve"> cl
 </t>
    </r>
    <r>
      <rPr>
        <b/>
        <i/>
        <sz val="11"/>
        <color theme="1"/>
        <rFont val="Calibri"/>
        <family val="2"/>
        <scheme val="minor"/>
      </rPr>
      <t>on</t>
    </r>
    <r>
      <rPr>
        <sz val="11"/>
        <color theme="1"/>
        <rFont val="Calibri"/>
        <family val="2"/>
        <scheme val="minor"/>
      </rPr>
      <t xml:space="preserve"> c.Person_Name = cl.Person_Name</t>
    </r>
  </si>
  <si>
    <t>Inner join:</t>
  </si>
  <si>
    <t>Left join:</t>
  </si>
  <si>
    <t>Right join:</t>
  </si>
  <si>
    <r>
      <rPr>
        <b/>
        <sz val="11"/>
        <color theme="1"/>
        <rFont val="Calibri"/>
        <family val="2"/>
        <scheme val="minor"/>
      </rPr>
      <t xml:space="preserve">SQL subquery: </t>
    </r>
    <r>
      <rPr>
        <sz val="11"/>
        <color theme="1"/>
        <rFont val="Calibri"/>
        <family val="2"/>
        <scheme val="minor"/>
      </rPr>
      <t>Query passed within another query</t>
    </r>
  </si>
  <si>
    <r>
      <rPr>
        <b/>
        <sz val="11"/>
        <color theme="1"/>
        <rFont val="Calibri"/>
        <family val="2"/>
        <scheme val="minor"/>
      </rPr>
      <t>SQL Joins:</t>
    </r>
    <r>
      <rPr>
        <sz val="11"/>
        <color theme="1"/>
        <rFont val="Calibri"/>
        <family val="2"/>
        <scheme val="minor"/>
      </rPr>
      <t xml:space="preserve"> Used to get data from two table having at least one column with common data</t>
    </r>
  </si>
  <si>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global_citizens.student_details </t>
    </r>
    <r>
      <rPr>
        <b/>
        <i/>
        <sz val="11"/>
        <color theme="1"/>
        <rFont val="Calibri"/>
        <family val="2"/>
        <scheme val="minor"/>
      </rPr>
      <t>as</t>
    </r>
    <r>
      <rPr>
        <sz val="11"/>
        <color theme="1"/>
        <rFont val="Calibri"/>
        <family val="2"/>
        <scheme val="minor"/>
      </rPr>
      <t xml:space="preserve"> s 
</t>
    </r>
    <r>
      <rPr>
        <b/>
        <i/>
        <sz val="11"/>
        <color theme="1"/>
        <rFont val="Calibri"/>
        <family val="2"/>
        <scheme val="minor"/>
      </rPr>
      <t>join</t>
    </r>
    <r>
      <rPr>
        <sz val="11"/>
        <color theme="1"/>
        <rFont val="Calibri"/>
        <family val="2"/>
        <scheme val="minor"/>
      </rPr>
      <t xml:space="preserve"> student_grades </t>
    </r>
    <r>
      <rPr>
        <b/>
        <i/>
        <sz val="11"/>
        <color theme="1"/>
        <rFont val="Calibri"/>
        <family val="2"/>
        <scheme val="minor"/>
      </rPr>
      <t>as</t>
    </r>
    <r>
      <rPr>
        <sz val="11"/>
        <color theme="1"/>
        <rFont val="Calibri"/>
        <family val="2"/>
        <scheme val="minor"/>
      </rPr>
      <t xml:space="preserve"> sg 
</t>
    </r>
    <r>
      <rPr>
        <b/>
        <i/>
        <sz val="11"/>
        <color theme="1"/>
        <rFont val="Calibri"/>
        <family val="2"/>
        <scheme val="minor"/>
      </rPr>
      <t>on</t>
    </r>
    <r>
      <rPr>
        <sz val="11"/>
        <color theme="1"/>
        <rFont val="Calibri"/>
        <family val="2"/>
        <scheme val="minor"/>
      </rPr>
      <t xml:space="preserve"> s.id = sg.student_id</t>
    </r>
  </si>
  <si>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global_citizens.student_details </t>
    </r>
    <r>
      <rPr>
        <b/>
        <i/>
        <sz val="11"/>
        <color theme="1"/>
        <rFont val="Calibri"/>
        <family val="2"/>
        <scheme val="minor"/>
      </rPr>
      <t>as</t>
    </r>
    <r>
      <rPr>
        <sz val="11"/>
        <color theme="1"/>
        <rFont val="Calibri"/>
        <family val="2"/>
        <scheme val="minor"/>
      </rPr>
      <t xml:space="preserve"> s 
</t>
    </r>
    <r>
      <rPr>
        <b/>
        <i/>
        <sz val="11"/>
        <color theme="1"/>
        <rFont val="Calibri"/>
        <family val="2"/>
        <scheme val="minor"/>
      </rPr>
      <t>left join</t>
    </r>
    <r>
      <rPr>
        <sz val="11"/>
        <color theme="1"/>
        <rFont val="Calibri"/>
        <family val="2"/>
        <scheme val="minor"/>
      </rPr>
      <t xml:space="preserve"> student_grades </t>
    </r>
    <r>
      <rPr>
        <b/>
        <i/>
        <sz val="11"/>
        <color theme="1"/>
        <rFont val="Calibri"/>
        <family val="2"/>
        <scheme val="minor"/>
      </rPr>
      <t>as</t>
    </r>
    <r>
      <rPr>
        <sz val="11"/>
        <color theme="1"/>
        <rFont val="Calibri"/>
        <family val="2"/>
        <scheme val="minor"/>
      </rPr>
      <t xml:space="preserve"> sg 
</t>
    </r>
    <r>
      <rPr>
        <b/>
        <i/>
        <sz val="11"/>
        <color theme="1"/>
        <rFont val="Calibri"/>
        <family val="2"/>
        <scheme val="minor"/>
      </rPr>
      <t>on</t>
    </r>
    <r>
      <rPr>
        <sz val="11"/>
        <color theme="1"/>
        <rFont val="Calibri"/>
        <family val="2"/>
        <scheme val="minor"/>
      </rPr>
      <t xml:space="preserve"> s.id = sg.student_id</t>
    </r>
  </si>
  <si>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global_citizens.student_details </t>
    </r>
    <r>
      <rPr>
        <b/>
        <i/>
        <sz val="11"/>
        <color theme="1"/>
        <rFont val="Calibri"/>
        <family val="2"/>
        <scheme val="minor"/>
      </rPr>
      <t>as</t>
    </r>
    <r>
      <rPr>
        <sz val="11"/>
        <color theme="1"/>
        <rFont val="Calibri"/>
        <family val="2"/>
        <scheme val="minor"/>
      </rPr>
      <t xml:space="preserve"> s 
</t>
    </r>
    <r>
      <rPr>
        <b/>
        <i/>
        <sz val="11"/>
        <color theme="1"/>
        <rFont val="Calibri"/>
        <family val="2"/>
        <scheme val="minor"/>
      </rPr>
      <t>right join</t>
    </r>
    <r>
      <rPr>
        <sz val="11"/>
        <color theme="1"/>
        <rFont val="Calibri"/>
        <family val="2"/>
        <scheme val="minor"/>
      </rPr>
      <t xml:space="preserve"> student_grades </t>
    </r>
    <r>
      <rPr>
        <b/>
        <i/>
        <sz val="11"/>
        <color theme="1"/>
        <rFont val="Calibri"/>
        <family val="2"/>
        <scheme val="minor"/>
      </rPr>
      <t>as</t>
    </r>
    <r>
      <rPr>
        <sz val="11"/>
        <color theme="1"/>
        <rFont val="Calibri"/>
        <family val="2"/>
        <scheme val="minor"/>
      </rPr>
      <t xml:space="preserve"> sg 
</t>
    </r>
    <r>
      <rPr>
        <b/>
        <i/>
        <sz val="11"/>
        <color theme="1"/>
        <rFont val="Calibri"/>
        <family val="2"/>
        <scheme val="minor"/>
      </rPr>
      <t>on</t>
    </r>
    <r>
      <rPr>
        <sz val="11"/>
        <color theme="1"/>
        <rFont val="Calibri"/>
        <family val="2"/>
        <scheme val="minor"/>
      </rPr>
      <t xml:space="preserve"> s.id = sg.student_id</t>
    </r>
  </si>
  <si>
    <t>Full outer join (Does not work in mysql. Use union of left and right join instead):</t>
  </si>
  <si>
    <t>SQL Views</t>
  </si>
  <si>
    <r>
      <rPr>
        <b/>
        <i/>
        <sz val="11"/>
        <color theme="1"/>
        <rFont val="Calibri"/>
        <family val="2"/>
        <scheme val="minor"/>
      </rPr>
      <t>create</t>
    </r>
    <r>
      <rPr>
        <sz val="11"/>
        <color theme="1"/>
        <rFont val="Calibri"/>
        <family val="2"/>
        <scheme val="minor"/>
      </rPr>
      <t xml:space="preserve"> </t>
    </r>
    <r>
      <rPr>
        <b/>
        <i/>
        <sz val="11"/>
        <color theme="1"/>
        <rFont val="Calibri"/>
        <family val="2"/>
        <scheme val="minor"/>
      </rPr>
      <t>view</t>
    </r>
    <r>
      <rPr>
        <sz val="11"/>
        <color theme="1"/>
        <rFont val="Calibri"/>
        <family val="2"/>
        <scheme val="minor"/>
      </rPr>
      <t xml:space="preserve"> &lt;view_name&gt; </t>
    </r>
    <r>
      <rPr>
        <b/>
        <i/>
        <sz val="11"/>
        <color theme="1"/>
        <rFont val="Calibri"/>
        <family val="2"/>
        <scheme val="minor"/>
      </rPr>
      <t>as</t>
    </r>
    <r>
      <rPr>
        <sz val="11"/>
        <color theme="1"/>
        <rFont val="Calibri"/>
        <family val="2"/>
        <scheme val="minor"/>
      </rPr>
      <t xml:space="preserve">
</t>
    </r>
    <r>
      <rPr>
        <b/>
        <i/>
        <sz val="11"/>
        <color theme="1"/>
        <rFont val="Calibri"/>
        <family val="2"/>
        <scheme val="minor"/>
      </rPr>
      <t>&lt;SQL Query&gt;</t>
    </r>
    <r>
      <rPr>
        <sz val="11"/>
        <color theme="1"/>
        <rFont val="Calibri"/>
        <family val="2"/>
        <scheme val="minor"/>
      </rPr>
      <t xml:space="preserve">;
</t>
    </r>
    <r>
      <rPr>
        <b/>
        <sz val="11"/>
        <color theme="1"/>
        <rFont val="Calibri"/>
        <family val="2"/>
        <scheme val="minor"/>
      </rPr>
      <t xml:space="preserve">
e.g.</t>
    </r>
    <r>
      <rPr>
        <sz val="11"/>
        <color theme="1"/>
        <rFont val="Calibri"/>
        <family val="2"/>
        <scheme val="minor"/>
      </rPr>
      <t xml:space="preserve"> </t>
    </r>
    <r>
      <rPr>
        <b/>
        <i/>
        <sz val="11"/>
        <color theme="1"/>
        <rFont val="Calibri"/>
        <family val="2"/>
        <scheme val="minor"/>
      </rPr>
      <t>create</t>
    </r>
    <r>
      <rPr>
        <sz val="11"/>
        <color theme="1"/>
        <rFont val="Calibri"/>
        <family val="2"/>
        <scheme val="minor"/>
      </rPr>
      <t xml:space="preserve"> </t>
    </r>
    <r>
      <rPr>
        <b/>
        <i/>
        <sz val="11"/>
        <color theme="1"/>
        <rFont val="Calibri"/>
        <family val="2"/>
        <scheme val="minor"/>
      </rPr>
      <t>view</t>
    </r>
    <r>
      <rPr>
        <sz val="11"/>
        <color theme="1"/>
        <rFont val="Calibri"/>
        <family val="2"/>
        <scheme val="minor"/>
      </rPr>
      <t xml:space="preserve"> indian_cities </t>
    </r>
    <r>
      <rPr>
        <b/>
        <i/>
        <sz val="11"/>
        <color theme="1"/>
        <rFont val="Calibri"/>
        <family val="2"/>
        <scheme val="minor"/>
      </rPr>
      <t>as</t>
    </r>
    <r>
      <rPr>
        <sz val="11"/>
        <color theme="1"/>
        <rFont val="Calibri"/>
        <family val="2"/>
        <scheme val="minor"/>
      </rPr>
      <t xml:space="preserve">
</t>
    </r>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city </t>
    </r>
    <r>
      <rPr>
        <b/>
        <i/>
        <sz val="11"/>
        <color theme="1"/>
        <rFont val="Calibri"/>
        <family val="2"/>
        <scheme val="minor"/>
      </rPr>
      <t>where</t>
    </r>
    <r>
      <rPr>
        <sz val="11"/>
        <color theme="1"/>
        <rFont val="Calibri"/>
        <family val="2"/>
        <scheme val="minor"/>
      </rPr>
      <t xml:space="preserve"> countrycode = 'IND';</t>
    </r>
  </si>
  <si>
    <t>String functions: Treat the SQL columns as strings</t>
  </si>
  <si>
    <t>concat</t>
  </si>
  <si>
    <t>substring</t>
  </si>
  <si>
    <t>replace</t>
  </si>
  <si>
    <t>length</t>
  </si>
  <si>
    <r>
      <t xml:space="preserve"> </t>
    </r>
    <r>
      <rPr>
        <b/>
        <i/>
        <sz val="11"/>
        <color theme="1"/>
        <rFont val="Calibri"/>
        <family val="2"/>
        <scheme val="minor"/>
      </rPr>
      <t>select concat(&lt;</t>
    </r>
    <r>
      <rPr>
        <sz val="11"/>
        <color theme="1"/>
        <rFont val="Calibri"/>
        <family val="2"/>
        <scheme val="minor"/>
      </rPr>
      <t xml:space="preserve">columnName1&gt;,  &lt;columnName2&gt;) </t>
    </r>
    <r>
      <rPr>
        <b/>
        <i/>
        <sz val="11"/>
        <color theme="1"/>
        <rFont val="Calibri"/>
        <family val="2"/>
        <scheme val="minor"/>
      </rPr>
      <t>from</t>
    </r>
    <r>
      <rPr>
        <sz val="11"/>
        <color theme="1"/>
        <rFont val="Calibri"/>
        <family val="2"/>
        <scheme val="minor"/>
      </rPr>
      <t xml:space="preserve"> &lt;table&gt;</t>
    </r>
    <r>
      <rPr>
        <b/>
        <i/>
        <sz val="11"/>
        <color theme="1"/>
        <rFont val="Calibri"/>
        <family val="2"/>
        <scheme val="minor"/>
      </rPr>
      <t/>
    </r>
  </si>
  <si>
    <r>
      <t xml:space="preserve"> </t>
    </r>
    <r>
      <rPr>
        <b/>
        <i/>
        <sz val="11"/>
        <color theme="1"/>
        <rFont val="Calibri"/>
        <family val="2"/>
        <scheme val="minor"/>
      </rPr>
      <t>select substring(&lt;</t>
    </r>
    <r>
      <rPr>
        <sz val="11"/>
        <color theme="1"/>
        <rFont val="Calibri"/>
        <family val="2"/>
        <scheme val="minor"/>
      </rPr>
      <t xml:space="preserve">columnName1&gt;,  &lt;startPosition&gt;) </t>
    </r>
    <r>
      <rPr>
        <b/>
        <i/>
        <sz val="11"/>
        <color theme="1"/>
        <rFont val="Calibri"/>
        <family val="2"/>
        <scheme val="minor"/>
      </rPr>
      <t>from</t>
    </r>
    <r>
      <rPr>
        <sz val="11"/>
        <color theme="1"/>
        <rFont val="Calibri"/>
        <family val="2"/>
        <scheme val="minor"/>
      </rPr>
      <t xml:space="preserve"> &lt;table&gt;
 </t>
    </r>
    <r>
      <rPr>
        <b/>
        <i/>
        <sz val="11"/>
        <color theme="1"/>
        <rFont val="Calibri"/>
        <family val="2"/>
        <scheme val="minor"/>
      </rPr>
      <t>select</t>
    </r>
    <r>
      <rPr>
        <sz val="11"/>
        <color theme="1"/>
        <rFont val="Calibri"/>
        <family val="2"/>
        <scheme val="minor"/>
      </rPr>
      <t xml:space="preserve"> </t>
    </r>
    <r>
      <rPr>
        <b/>
        <i/>
        <sz val="11"/>
        <color theme="1"/>
        <rFont val="Calibri"/>
        <family val="2"/>
        <scheme val="minor"/>
      </rPr>
      <t>substring</t>
    </r>
    <r>
      <rPr>
        <sz val="11"/>
        <color theme="1"/>
        <rFont val="Calibri"/>
        <family val="2"/>
        <scheme val="minor"/>
      </rPr>
      <t xml:space="preserve">(&lt;columnName1&gt;,  &lt;startPosition&gt;, &lt;endPosition&gt;) </t>
    </r>
    <r>
      <rPr>
        <b/>
        <i/>
        <sz val="11"/>
        <color theme="1"/>
        <rFont val="Calibri"/>
        <family val="2"/>
        <scheme val="minor"/>
      </rPr>
      <t>from</t>
    </r>
    <r>
      <rPr>
        <sz val="11"/>
        <color theme="1"/>
        <rFont val="Calibri"/>
        <family val="2"/>
        <scheme val="minor"/>
      </rPr>
      <t xml:space="preserve"> &lt;table&gt;</t>
    </r>
  </si>
  <si>
    <r>
      <t xml:space="preserve"> </t>
    </r>
    <r>
      <rPr>
        <b/>
        <i/>
        <sz val="11"/>
        <color theme="1"/>
        <rFont val="Calibri"/>
        <family val="2"/>
        <scheme val="minor"/>
      </rPr>
      <t>select replace(&lt;</t>
    </r>
    <r>
      <rPr>
        <sz val="11"/>
        <color theme="1"/>
        <rFont val="Calibri"/>
        <family val="2"/>
        <scheme val="minor"/>
      </rPr>
      <t xml:space="preserve">columnName1&gt;,  &lt;stringForReplace&gt;, &lt;substituteString&gt;) </t>
    </r>
    <r>
      <rPr>
        <b/>
        <i/>
        <sz val="11"/>
        <color theme="1"/>
        <rFont val="Calibri"/>
        <family val="2"/>
        <scheme val="minor"/>
      </rPr>
      <t>from</t>
    </r>
    <r>
      <rPr>
        <sz val="11"/>
        <color theme="1"/>
        <rFont val="Calibri"/>
        <family val="2"/>
        <scheme val="minor"/>
      </rPr>
      <t xml:space="preserve"> &lt;table&gt;</t>
    </r>
    <r>
      <rPr>
        <b/>
        <i/>
        <sz val="11"/>
        <color theme="1"/>
        <rFont val="Calibri"/>
        <family val="2"/>
        <scheme val="minor"/>
      </rPr>
      <t/>
    </r>
  </si>
  <si>
    <r>
      <t xml:space="preserve"> </t>
    </r>
    <r>
      <rPr>
        <b/>
        <i/>
        <sz val="11"/>
        <color theme="1"/>
        <rFont val="Calibri"/>
        <family val="2"/>
        <scheme val="minor"/>
      </rPr>
      <t>select length(&lt;</t>
    </r>
    <r>
      <rPr>
        <sz val="11"/>
        <color theme="1"/>
        <rFont val="Calibri"/>
        <family val="2"/>
        <scheme val="minor"/>
      </rPr>
      <t xml:space="preserve">columnName1&gt;) </t>
    </r>
    <r>
      <rPr>
        <b/>
        <i/>
        <sz val="11"/>
        <color theme="1"/>
        <rFont val="Calibri"/>
        <family val="2"/>
        <scheme val="minor"/>
      </rPr>
      <t>from</t>
    </r>
    <r>
      <rPr>
        <sz val="11"/>
        <color theme="1"/>
        <rFont val="Calibri"/>
        <family val="2"/>
        <scheme val="minor"/>
      </rPr>
      <t xml:space="preserve"> &lt;table&gt;</t>
    </r>
    <r>
      <rPr>
        <b/>
        <i/>
        <sz val="11"/>
        <color theme="1"/>
        <rFont val="Calibri"/>
        <family val="2"/>
        <scheme val="minor"/>
      </rPr>
      <t/>
    </r>
  </si>
  <si>
    <t>trim</t>
  </si>
  <si>
    <r>
      <rPr>
        <b/>
        <i/>
        <sz val="11"/>
        <color theme="1"/>
        <rFont val="Calibri"/>
        <family val="2"/>
        <scheme val="minor"/>
      </rPr>
      <t>SELECT</t>
    </r>
    <r>
      <rPr>
        <sz val="11"/>
        <color theme="1"/>
        <rFont val="Calibri"/>
        <family val="2"/>
        <scheme val="minor"/>
      </rPr>
      <t xml:space="preserve"> * </t>
    </r>
    <r>
      <rPr>
        <b/>
        <i/>
        <sz val="11"/>
        <color theme="1"/>
        <rFont val="Calibri"/>
        <family val="2"/>
        <scheme val="minor"/>
      </rPr>
      <t>FROM</t>
    </r>
    <r>
      <rPr>
        <sz val="11"/>
        <color theme="1"/>
        <rFont val="Calibri"/>
        <family val="2"/>
        <scheme val="minor"/>
      </rPr>
      <t xml:space="preserve"> global_citizens.student_details </t>
    </r>
    <r>
      <rPr>
        <b/>
        <i/>
        <sz val="11"/>
        <color theme="1"/>
        <rFont val="Calibri"/>
        <family val="2"/>
        <scheme val="minor"/>
      </rPr>
      <t>as</t>
    </r>
    <r>
      <rPr>
        <sz val="11"/>
        <color theme="1"/>
        <rFont val="Calibri"/>
        <family val="2"/>
        <scheme val="minor"/>
      </rPr>
      <t xml:space="preserve"> s 
</t>
    </r>
    <r>
      <rPr>
        <b/>
        <i/>
        <sz val="11"/>
        <color theme="1"/>
        <rFont val="Calibri"/>
        <family val="2"/>
        <scheme val="minor"/>
      </rPr>
      <t>full outer join</t>
    </r>
    <r>
      <rPr>
        <sz val="11"/>
        <color theme="1"/>
        <rFont val="Calibri"/>
        <family val="2"/>
        <scheme val="minor"/>
      </rPr>
      <t xml:space="preserve"> student_grades </t>
    </r>
    <r>
      <rPr>
        <b/>
        <i/>
        <sz val="11"/>
        <color theme="1"/>
        <rFont val="Calibri"/>
        <family val="2"/>
        <scheme val="minor"/>
      </rPr>
      <t>as</t>
    </r>
    <r>
      <rPr>
        <sz val="11"/>
        <color theme="1"/>
        <rFont val="Calibri"/>
        <family val="2"/>
        <scheme val="minor"/>
      </rPr>
      <t xml:space="preserve"> sg 
</t>
    </r>
    <r>
      <rPr>
        <b/>
        <i/>
        <sz val="11"/>
        <color theme="1"/>
        <rFont val="Calibri"/>
        <family val="2"/>
        <scheme val="minor"/>
      </rPr>
      <t>on</t>
    </r>
    <r>
      <rPr>
        <sz val="11"/>
        <color theme="1"/>
        <rFont val="Calibri"/>
        <family val="2"/>
        <scheme val="minor"/>
      </rPr>
      <t xml:space="preserve"> s.id = sg.student_id</t>
    </r>
  </si>
  <si>
    <t>SQL Union</t>
  </si>
  <si>
    <t>Combines content of two tables or result of two queries. Maintains common entries only once</t>
  </si>
  <si>
    <t>SQL Union All</t>
  </si>
  <si>
    <t>Combines content of two tables or result of two queries. Maintains common entries every time it's found in any table/result set</t>
  </si>
  <si>
    <t>Intersect</t>
  </si>
  <si>
    <t>Returns common content of two tables or result of two queries</t>
  </si>
  <si>
    <t>Cypress Advantages over Selenium</t>
  </si>
  <si>
    <t>Cypress Installation</t>
  </si>
  <si>
    <t>Install node</t>
  </si>
  <si>
    <t>Install Visual Studio code</t>
  </si>
  <si>
    <t>Go to VS Code Open Terminal</t>
  </si>
  <si>
    <t>npm init</t>
  </si>
  <si>
    <t>Most things handy for working</t>
  </si>
  <si>
    <t>Readymade framework available</t>
  </si>
  <si>
    <t>Waits are taken care by the tool</t>
  </si>
  <si>
    <t>Built-in video recording</t>
  </si>
  <si>
    <t>Drivers not required for browsers</t>
  </si>
  <si>
    <t>Disadvantages of Cypress</t>
  </si>
  <si>
    <t>Doesn't support multiple tabs or windows</t>
  </si>
  <si>
    <t>Doesn't support mobile automation</t>
  </si>
  <si>
    <t>Open Cypress</t>
  </si>
  <si>
    <t>Keep entering until a package.json file is not created</t>
  </si>
  <si>
    <t>Open the current folder in VSCode (from commmand prompt)</t>
  </si>
  <si>
    <t>code .</t>
  </si>
  <si>
    <t>npx cypress open              OR</t>
  </si>
  <si>
    <t>.\node_modules\cypress\bin\cypress open</t>
  </si>
  <si>
    <r>
      <rPr>
        <b/>
        <sz val="11"/>
        <color theme="1"/>
        <rFont val="Calibri"/>
        <family val="2"/>
        <scheme val="minor"/>
      </rPr>
      <t>For Typescript:</t>
    </r>
    <r>
      <rPr>
        <sz val="11"/>
        <color theme="1"/>
        <rFont val="Calibri"/>
        <family val="2"/>
        <scheme val="minor"/>
      </rPr>
      <t xml:space="preserve"> npx tsc --init</t>
    </r>
  </si>
  <si>
    <r>
      <rPr>
        <b/>
        <sz val="11"/>
        <color theme="1"/>
        <rFont val="Calibri"/>
        <family val="2"/>
        <scheme val="minor"/>
      </rPr>
      <t>For Typescript:</t>
    </r>
    <r>
      <rPr>
        <sz val="11"/>
        <color theme="1"/>
        <rFont val="Calibri"/>
        <family val="2"/>
        <scheme val="minor"/>
      </rPr>
      <t xml:space="preserve"> npm install typescript -g</t>
    </r>
  </si>
  <si>
    <r>
      <t>npm install cypress --save</t>
    </r>
    <r>
      <rPr>
        <i/>
        <sz val="11"/>
        <color rgb="FFFF0000"/>
        <rFont val="Calibri"/>
        <family val="2"/>
        <scheme val="minor"/>
      </rPr>
      <t>-dev</t>
    </r>
  </si>
  <si>
    <t>Mocha Framework</t>
  </si>
  <si>
    <t>Mocha Hooks</t>
  </si>
  <si>
    <t>before
after
beforeEach
afterEach</t>
  </si>
  <si>
    <t>Mocha Awesome reports package installing</t>
  </si>
  <si>
    <r>
      <t>npm install --save</t>
    </r>
    <r>
      <rPr>
        <i/>
        <sz val="11"/>
        <color rgb="FFFF0000"/>
        <rFont val="Calibri"/>
        <family val="2"/>
        <scheme val="minor"/>
      </rPr>
      <t xml:space="preserve">-dev </t>
    </r>
    <r>
      <rPr>
        <sz val="11"/>
        <rFont val="Calibri"/>
        <family val="2"/>
        <scheme val="minor"/>
      </rPr>
      <t>mochawesome</t>
    </r>
  </si>
  <si>
    <t>npm install mocha --save-dev</t>
  </si>
  <si>
    <t>npm install chai --save-dev</t>
  </si>
  <si>
    <t>Chai Unit Testing framework</t>
  </si>
  <si>
    <t>Run Mocha Framework</t>
  </si>
  <si>
    <t>npx mocha</t>
  </si>
  <si>
    <t>Run Mocha Framework witth reports</t>
  </si>
  <si>
    <t>npx mocha --reporter mochawesome</t>
  </si>
  <si>
    <t>Jacascript Basics</t>
  </si>
  <si>
    <t>Declare a variable</t>
  </si>
  <si>
    <r>
      <t>done directly, e.g.</t>
    </r>
    <r>
      <rPr>
        <b/>
        <i/>
        <sz val="11"/>
        <color theme="1"/>
        <rFont val="Calibri"/>
        <family val="2"/>
        <scheme val="minor"/>
      </rPr>
      <t xml:space="preserve"> i = 10</t>
    </r>
    <r>
      <rPr>
        <sz val="11"/>
        <color theme="1"/>
        <rFont val="Calibri"/>
        <family val="2"/>
        <scheme val="minor"/>
      </rPr>
      <t xml:space="preserve">
Advised to user the </t>
    </r>
    <r>
      <rPr>
        <b/>
        <i/>
        <sz val="11"/>
        <color theme="1"/>
        <rFont val="Calibri"/>
        <family val="2"/>
        <scheme val="minor"/>
      </rPr>
      <t>var</t>
    </r>
    <r>
      <rPr>
        <sz val="11"/>
        <color theme="1"/>
        <rFont val="Calibri"/>
        <family val="2"/>
        <scheme val="minor"/>
      </rPr>
      <t xml:space="preserve"> word: </t>
    </r>
    <r>
      <rPr>
        <b/>
        <i/>
        <sz val="11"/>
        <color theme="1"/>
        <rFont val="Calibri"/>
        <family val="2"/>
        <scheme val="minor"/>
      </rPr>
      <t>var i = 10</t>
    </r>
  </si>
  <si>
    <t>Javascript operators</t>
  </si>
  <si>
    <t>'-'</t>
  </si>
  <si>
    <t>'*'</t>
  </si>
  <si>
    <t>'/'</t>
  </si>
  <si>
    <t>'%'</t>
  </si>
  <si>
    <t>'++'</t>
  </si>
  <si>
    <t>'--'</t>
  </si>
  <si>
    <t>Addition</t>
  </si>
  <si>
    <t>Subtraction</t>
  </si>
  <si>
    <t>Multiplication</t>
  </si>
  <si>
    <t>Division</t>
  </si>
  <si>
    <t>Modulo (Remainder in a division)</t>
  </si>
  <si>
    <t>Increment with 1</t>
  </si>
  <si>
    <t>Decrement with 1</t>
  </si>
  <si>
    <t>One operand is the same number e.g. (s1 = s1 + 1)</t>
  </si>
  <si>
    <t>+=' e.g. s1+=1</t>
  </si>
  <si>
    <t>Is equal to</t>
  </si>
  <si>
    <t>Is not equal to</t>
  </si>
  <si>
    <t>==</t>
  </si>
  <si>
    <t>!=</t>
  </si>
  <si>
    <t>===</t>
  </si>
  <si>
    <t>Check the type of both the operands</t>
  </si>
  <si>
    <t>Check the type of one vatiable</t>
  </si>
  <si>
    <t>typeof &lt;variable Name&gt;</t>
  </si>
  <si>
    <t>Comparison Operators</t>
  </si>
  <si>
    <t>Greater than</t>
  </si>
  <si>
    <t>&gt;</t>
  </si>
  <si>
    <t>Less than</t>
  </si>
  <si>
    <t>&lt;</t>
  </si>
  <si>
    <t>&gt;=</t>
  </si>
  <si>
    <t>&lt;=</t>
  </si>
  <si>
    <t>Greater than or equal to</t>
  </si>
  <si>
    <t>Less than or equal to</t>
  </si>
  <si>
    <t>Conditional / Logical Operators</t>
  </si>
  <si>
    <t>Requires both the operands to be of type 'Boolean'</t>
  </si>
  <si>
    <t>&amp;&amp;</t>
  </si>
  <si>
    <t>||</t>
  </si>
  <si>
    <t>And Operator</t>
  </si>
  <si>
    <t>Or Operator</t>
  </si>
  <si>
    <t>Not operator</t>
  </si>
  <si>
    <t>!</t>
  </si>
  <si>
    <t>Javascript DataTypes</t>
  </si>
  <si>
    <t>String</t>
  </si>
  <si>
    <t>number</t>
  </si>
  <si>
    <t>boolean</t>
  </si>
  <si>
    <t>object</t>
  </si>
  <si>
    <t>function</t>
  </si>
  <si>
    <t>Object</t>
  </si>
  <si>
    <t>Date</t>
  </si>
  <si>
    <t>DataTypes that cannot contain value</t>
  </si>
  <si>
    <t>null</t>
  </si>
  <si>
    <t>undefined</t>
  </si>
  <si>
    <t>Conditional Statements</t>
  </si>
  <si>
    <t>if…else</t>
  </si>
  <si>
    <t>if(condition){
}
else if(condition){
}
else{
}</t>
  </si>
  <si>
    <t>switch</t>
  </si>
  <si>
    <t>switch(conditionVariable){
        case "&lt;value1&gt;":
                &lt;Code block&gt;;
                break; 
        case "&lt;value2&gt;":
                &lt;Code block&gt;;
                break; 
        case "&lt;value3&gt;":
                &lt;Code block&gt;;
                break; 
}</t>
  </si>
  <si>
    <t>functions</t>
  </si>
  <si>
    <t>function simpleFunc(){
    console.log("Inside function")
}</t>
  </si>
  <si>
    <t>function add (a, b){
    return (a+b)
}</t>
  </si>
  <si>
    <t>function student(name, rollNo){
    this.name = name
    this.rollNo = rollNo
}
var new_student = new student("Mayuresh", 101)</t>
  </si>
  <si>
    <t>Loops</t>
  </si>
  <si>
    <t>while loop</t>
  </si>
  <si>
    <t>do… while loop</t>
  </si>
  <si>
    <t>do
{body}while(condition)</t>
  </si>
  <si>
    <t>while(condition){
body}</t>
  </si>
  <si>
    <t>for(var i=0; i&lt;10; i++){
body}</t>
  </si>
  <si>
    <t>Loop controlling statements</t>
  </si>
  <si>
    <t>break</t>
  </si>
  <si>
    <t>transfers the control outside the immediate loop</t>
  </si>
  <si>
    <t>continue</t>
  </si>
  <si>
    <t>starts the next iteration in the immediate loop</t>
  </si>
  <si>
    <t>break &lt;label&gt;</t>
  </si>
  <si>
    <t>transfers the control outside the labelled loop</t>
  </si>
  <si>
    <t>Label syntax</t>
  </si>
  <si>
    <r>
      <rPr>
        <b/>
        <sz val="11"/>
        <color theme="1"/>
        <rFont val="Calibri"/>
        <family val="2"/>
        <scheme val="minor"/>
      </rPr>
      <t>Label1:</t>
    </r>
    <r>
      <rPr>
        <sz val="11"/>
        <color theme="1"/>
        <rFont val="Calibri"/>
        <family val="2"/>
        <scheme val="minor"/>
      </rPr>
      <t xml:space="preserve"> for(var i=0; i&lt;10; i++){
        </t>
    </r>
    <r>
      <rPr>
        <b/>
        <sz val="11"/>
        <color theme="1"/>
        <rFont val="Calibri"/>
        <family val="2"/>
        <scheme val="minor"/>
      </rPr>
      <t>Label2:</t>
    </r>
    <r>
      <rPr>
        <sz val="11"/>
        <color theme="1"/>
        <rFont val="Calibri"/>
        <family val="2"/>
        <scheme val="minor"/>
      </rPr>
      <t xml:space="preserve"> for(var i=0; i&lt;10; i++){
        body}
}</t>
    </r>
  </si>
  <si>
    <t>Arrays</t>
  </si>
  <si>
    <t>console.log(courses[1])</t>
  </si>
  <si>
    <t>console.log(courses.length)</t>
  </si>
  <si>
    <t>var courses = ['Selenium', 'Appium', "API", "Cypress"]</t>
  </si>
  <si>
    <t>Get the array element at the index</t>
  </si>
  <si>
    <t>Get the length of the array</t>
  </si>
  <si>
    <t>var courses = new Array('Selenium', 'Appium', "API", "Cypress")</t>
  </si>
  <si>
    <t>var courses = new Array(4)
courses[0] = 'Selenium'
courses[1] = 'Appium'
courses[2] = "API"
courses[3] = "Cypress"</t>
  </si>
  <si>
    <t>for(var course in courses){
console.log(course)
}</t>
  </si>
  <si>
    <t>for loop for array</t>
  </si>
  <si>
    <t>for-each loop for array</t>
  </si>
  <si>
    <t>for-each loop</t>
  </si>
  <si>
    <t>for(var i=0; i&lt;courses.length; i++){
console.log(courses[i])
}</t>
  </si>
  <si>
    <t>for(var course in courses){
console.log(courses[course])
}</t>
  </si>
  <si>
    <t>VAR, Let, and Constants</t>
  </si>
  <si>
    <t>var</t>
  </si>
  <si>
    <t>Global Scope</t>
  </si>
  <si>
    <t>let</t>
  </si>
  <si>
    <t>block in which it's defined scope</t>
  </si>
  <si>
    <t>const</t>
  </si>
  <si>
    <t>Create a constant, whose value never changes</t>
  </si>
  <si>
    <t>Use functions in a different file</t>
  </si>
  <si>
    <t>module.exports = &lt;function&gt;</t>
  </si>
  <si>
    <t>In the module file</t>
  </si>
  <si>
    <t>In the file using the module</t>
  </si>
  <si>
    <t>var &lt;function&gt; = require(&lt;filePath&gt;);
var &lt;newVariable&gt; = new &lt;function&gt;</t>
  </si>
  <si>
    <t>Validations</t>
  </si>
  <si>
    <t>First element in a list</t>
  </si>
  <si>
    <t>cy.get(&lt;locator&gt;).first()</t>
  </si>
  <si>
    <t>Last element in a list</t>
  </si>
  <si>
    <t>cy.get(&lt;locator&gt;).last()</t>
  </si>
  <si>
    <t>Numbered element</t>
  </si>
  <si>
    <t>cy.get(&lt;locator&gt;).eq(&lt;Element Num&gt; -1)</t>
  </si>
  <si>
    <t>Elements in a list</t>
  </si>
  <si>
    <t>Select element from the Text</t>
  </si>
  <si>
    <t>cy.get(&lt;locator&gt;).should('contains.text', '&lt;PartialText&gt;')</t>
  </si>
  <si>
    <t>cy.get(&lt;locator&gt;).should('have.text', '&lt;FullText&gt;')</t>
  </si>
  <si>
    <t>Absolute Text</t>
  </si>
  <si>
    <t>Partial Text</t>
  </si>
  <si>
    <t>Visiblity</t>
  </si>
  <si>
    <t>cy.get(&lt;locator&gt;).should('be.visible')</t>
  </si>
  <si>
    <t>Attribute check</t>
  </si>
  <si>
    <t>cy.get(&lt;locator&gt;).invoke('attr', '&lt;Attribute Name&gt;).should('contain', '&lt;Attribute Name')</t>
  </si>
  <si>
    <t>Run only one test in cypress</t>
  </si>
  <si>
    <t>it.only()</t>
  </si>
  <si>
    <t>Element within element</t>
  </si>
  <si>
    <t>cy.get(&lt;ParentElementLocator&gt;).find(&lt;ChildElementLocator&gt;)</t>
  </si>
  <si>
    <t>Get number of elements found with the same locator</t>
  </si>
  <si>
    <t>cy.get(&lt;ElementLocator&gt;).its('length')</t>
  </si>
  <si>
    <t>Hardcode wait</t>
  </si>
  <si>
    <t>cy.wait(&lt;milliseconds&gt;</t>
  </si>
  <si>
    <t>Explicit wait for a single element</t>
  </si>
  <si>
    <t>cy.get(&lt;locator&gt;{timeout: 3000})</t>
  </si>
  <si>
    <t>Preceding sibling</t>
  </si>
  <si>
    <t>cy.get(&lt;locator&gt;).prev()</t>
  </si>
  <si>
    <t>Next Sibling</t>
  </si>
  <si>
    <t>cy.get(&lt;locator&gt;).next()</t>
  </si>
  <si>
    <t>parent</t>
  </si>
  <si>
    <t>cy.get(&lt;locator&gt;).parent()</t>
  </si>
  <si>
    <t>In 'package.json, add the following line in 'scripts'</t>
  </si>
  <si>
    <t>"scripts": {
    "launchcypress": "./node_modules/.bin/cypress open"
  },</t>
  </si>
  <si>
    <r>
      <t xml:space="preserve">In command prompt, run the following command: </t>
    </r>
    <r>
      <rPr>
        <b/>
        <i/>
        <sz val="11"/>
        <color theme="1"/>
        <rFont val="Calibri"/>
        <family val="2"/>
        <scheme val="minor"/>
      </rPr>
      <t>npm run launchcypress</t>
    </r>
  </si>
  <si>
    <t>Install xpath plugin for cypress</t>
  </si>
  <si>
    <t>npm install cypress-xpath</t>
  </si>
  <si>
    <t>require('cypress-xpath')</t>
  </si>
  <si>
    <t>cy.xpath("&lt;xpath&gt;").&lt;action&gt;</t>
  </si>
  <si>
    <t>Dropdown</t>
  </si>
  <si>
    <t>cy.get(&lt;DropdownLocator&gt;).select('value')</t>
  </si>
  <si>
    <t>cy.get(&lt;ParentElementLocator&gt;).within((section) =&gt; {
        cy.get(&lt;ChildElementLocator&gt;)
})</t>
  </si>
  <si>
    <t>Checkboxes</t>
  </si>
  <si>
    <t>cy.get(&lt;DropdownLocator&gt;).type('value')</t>
  </si>
  <si>
    <t>cy.get(&lt;DropdownLocator&gt;).check()</t>
  </si>
  <si>
    <t>Check the checkboxes with a specific value</t>
  </si>
  <si>
    <t>cy.get(&lt;DropdownLocator&gt;).check(['value1', 'value2])</t>
  </si>
  <si>
    <t>Access iFrame and got to its element</t>
  </si>
  <si>
    <t>cy.get(&lt;iFrameSelector&gt;).then(($iFrame) =&gt; {
      let element = $iFrame.contents().find(&lt;childElementSelector&gt;')
      cy.wrap(element).click()
    })</t>
  </si>
  <si>
    <t>Switch back to the main frame</t>
  </si>
  <si>
    <t>No need to switch back, like in Selenium. Access those elements like as before</t>
  </si>
  <si>
    <t>Handle new tabs</t>
  </si>
  <si>
    <t>Open the new page in the same tab with jQuery</t>
  </si>
  <si>
    <t>cy.get(&lt;locator&gt;).invoke('removeAttr', 'target').&lt;action&gt;</t>
  </si>
  <si>
    <t>Handle pop-ups</t>
  </si>
  <si>
    <t xml:space="preserve">     Take control of the new window</t>
  </si>
  <si>
    <t>cy.window().then((win)=&gt;{</t>
  </si>
  <si>
    <t xml:space="preserve">     Get the current window handle</t>
  </si>
  <si>
    <t xml:space="preserve">    cy.stub(win, 'open', () =&gt;{</t>
  </si>
  <si>
    <t xml:space="preserve">     Set the location of new window</t>
  </si>
  <si>
    <t xml:space="preserve">        win.location.href='&lt;pop-up URL&gt;'</t>
  </si>
  <si>
    <t>}).as('popup')</t>
  </si>
  <si>
    <t>Get the popup window</t>
  </si>
  <si>
    <t>cy.get('@popup').should('be.calledWith', '&lt;pop-up URL&gt;')</t>
  </si>
  <si>
    <t>Work with popo-up as the normal window</t>
  </si>
  <si>
    <t>Go back to the main window from pop-up window</t>
  </si>
  <si>
    <t>cy.go('back')</t>
  </si>
  <si>
    <t>Handling Alerts</t>
  </si>
  <si>
    <t>cy.on()</t>
  </si>
  <si>
    <t>Drag and Drop</t>
  </si>
  <si>
    <t>npm install --save-dev @4tw/cypress-drag-drop</t>
  </si>
  <si>
    <r>
      <t xml:space="preserve">Add the command to </t>
    </r>
    <r>
      <rPr>
        <b/>
        <i/>
        <sz val="11"/>
        <color theme="1"/>
        <rFont val="Calibri"/>
        <family val="2"/>
        <scheme val="minor"/>
      </rPr>
      <t>commands.js</t>
    </r>
    <r>
      <rPr>
        <sz val="11"/>
        <color theme="1"/>
        <rFont val="Calibri"/>
        <family val="2"/>
        <scheme val="minor"/>
      </rPr>
      <t xml:space="preserve"> file</t>
    </r>
  </si>
  <si>
    <t>require('@4tw/cypress-drag-drop')</t>
  </si>
  <si>
    <t>Perform the action</t>
  </si>
  <si>
    <t>cy.wrap(dragElem).drag(dropElem, {force: true})</t>
  </si>
  <si>
    <t>Mouse Hover</t>
  </si>
  <si>
    <t>cy.contains('&lt;menuText&gt;').trigger('mouseover')</t>
  </si>
  <si>
    <t>Change the directory - go to the root directory</t>
  </si>
  <si>
    <t>cd /</t>
  </si>
  <si>
    <t>Delete a directory</t>
  </si>
  <si>
    <t>rmdir &lt;folderName&gt; &lt;folderName&gt;</t>
  </si>
  <si>
    <t>Get help regarding a command</t>
  </si>
  <si>
    <t>man &lt;command&gt;</t>
  </si>
  <si>
    <t>Get more information on the command after 'man &lt;command&gt;'</t>
  </si>
  <si>
    <t>Enter</t>
  </si>
  <si>
    <t>Create a new user</t>
  </si>
  <si>
    <t>Requires Admin access</t>
  </si>
  <si>
    <t>useradd &lt;newUserName&gt;</t>
  </si>
  <si>
    <t>Create password for the new user</t>
  </si>
  <si>
    <t>Remove password of the user</t>
  </si>
  <si>
    <t>passwd -d &lt;user&gt;</t>
  </si>
  <si>
    <t>passwd &lt;user&gt;</t>
  </si>
  <si>
    <t xml:space="preserve">Confirm Password: </t>
  </si>
  <si>
    <t xml:space="preserve">New Password: </t>
  </si>
  <si>
    <t>Linux Directories</t>
  </si>
  <si>
    <t>User Passwords</t>
  </si>
  <si>
    <t>/etc/passwd</t>
  </si>
  <si>
    <t>Get file contents on the terminal</t>
  </si>
  <si>
    <t>Get last lines on the terminal</t>
  </si>
  <si>
    <t>tail &lt;fileName.extension&gt;</t>
  </si>
  <si>
    <t>cat &lt;fileName.extension&gt;</t>
  </si>
  <si>
    <t xml:space="preserve">mkdir &lt;folderName&gt; </t>
  </si>
  <si>
    <t>Create a directory with a parent directory</t>
  </si>
  <si>
    <t>mkdir -p &lt;parentFolderName&gt; &lt;childFolderName&gt;</t>
  </si>
  <si>
    <t>Processes</t>
  </si>
  <si>
    <t>Start a process</t>
  </si>
  <si>
    <t>process name e.g. :~$ firefox</t>
  </si>
  <si>
    <t>Send the process to bakground</t>
  </si>
  <si>
    <t>ctrl + z</t>
  </si>
  <si>
    <t>bg</t>
  </si>
  <si>
    <t>Bring the process to foreground</t>
  </si>
  <si>
    <t>fg &lt;process name&gt;</t>
  </si>
  <si>
    <t>Get all the processes running on the machine</t>
  </si>
  <si>
    <t>top</t>
  </si>
  <si>
    <t>Top command displays the following fields</t>
  </si>
  <si>
    <t>Process ID of each task</t>
  </si>
  <si>
    <t>PID</t>
  </si>
  <si>
    <t>USER</t>
  </si>
  <si>
    <t>PR</t>
  </si>
  <si>
    <t>NI</t>
  </si>
  <si>
    <t>VIRT</t>
  </si>
  <si>
    <t>RES</t>
  </si>
  <si>
    <t>SHR</t>
  </si>
  <si>
    <t>%CPU</t>
  </si>
  <si>
    <t>%MEM</t>
  </si>
  <si>
    <t>TIME+</t>
  </si>
  <si>
    <t>COMMAND</t>
  </si>
  <si>
    <t>Task owner</t>
  </si>
  <si>
    <t>Priority (Highest: 20 ; Lowest: -20) (Can be changed)</t>
  </si>
  <si>
    <t>Nice value of the task</t>
  </si>
  <si>
    <t>Virtual Memory used (kB)</t>
  </si>
  <si>
    <t>Physical Memory used (kB)</t>
  </si>
  <si>
    <t>Shared Memory used (kB)</t>
  </si>
  <si>
    <t>S</t>
  </si>
  <si>
    <t>Status</t>
  </si>
  <si>
    <t>D</t>
  </si>
  <si>
    <t>Uninterruptible sleep</t>
  </si>
  <si>
    <t>R</t>
  </si>
  <si>
    <t>Running</t>
  </si>
  <si>
    <t>Sleeping</t>
  </si>
  <si>
    <t>Traced or Stipped</t>
  </si>
  <si>
    <t>T</t>
  </si>
  <si>
    <t>Zombie</t>
  </si>
  <si>
    <t>Z</t>
  </si>
  <si>
    <t xml:space="preserve">Percentage of CPU </t>
  </si>
  <si>
    <t>Percentage of Physical Memory</t>
  </si>
  <si>
    <t>Total CPU Time</t>
  </si>
  <si>
    <t>Command Name</t>
  </si>
  <si>
    <t>Task Manager equivalent</t>
  </si>
  <si>
    <t>PS Utility</t>
  </si>
  <si>
    <t>The processes run by a user</t>
  </si>
  <si>
    <t>ps ux</t>
  </si>
  <si>
    <t>Process status of a single process with its PID</t>
  </si>
  <si>
    <t>ps pid</t>
  </si>
  <si>
    <t>Get PID of a process</t>
  </si>
  <si>
    <t>pidof &lt;processsName&gt;</t>
  </si>
  <si>
    <t>kill PID</t>
  </si>
  <si>
    <t>Kill a process with its PID</t>
  </si>
  <si>
    <t>Prioritize process as per requirement</t>
  </si>
  <si>
    <t>niceness (-20 to 19). The lower the niceness, higher the priority</t>
  </si>
  <si>
    <t>nice -n '&lt;niceValue&gt; &lt;processName&gt;</t>
  </si>
  <si>
    <t>Set a nice value to the process</t>
  </si>
  <si>
    <t>Reset a nice value to the already running process</t>
  </si>
  <si>
    <t>renice '&lt;niceValue&gt; -p PID</t>
  </si>
  <si>
    <t>Requires sudo access and user password</t>
  </si>
  <si>
    <t>Free disk space on all the file system</t>
  </si>
  <si>
    <t>df</t>
  </si>
  <si>
    <t>Free disk space on all the file system in readable format</t>
  </si>
  <si>
    <t>df -h</t>
  </si>
  <si>
    <t>free -m</t>
  </si>
  <si>
    <t>Show free and used memory in megaBytes</t>
  </si>
  <si>
    <t>free -g</t>
  </si>
  <si>
    <t>Show free and used memory in gigaBytes</t>
  </si>
  <si>
    <t>Check currently mounted devices</t>
  </si>
  <si>
    <t>findmnt</t>
  </si>
  <si>
    <t>Check current environmental variables</t>
  </si>
  <si>
    <t>echo $PATH</t>
  </si>
  <si>
    <t>Print all or part of environment</t>
  </si>
  <si>
    <t>printenv</t>
  </si>
  <si>
    <t>Display all exported environment or run a program in a modified environment</t>
  </si>
  <si>
    <t>env</t>
  </si>
  <si>
    <t>List the name and value of each shell variable</t>
  </si>
  <si>
    <t>set</t>
  </si>
  <si>
    <t>Symmbolic links (sym links)</t>
  </si>
  <si>
    <t>ls -s &lt;sourcefile.ext&gt;, &lt;linkFile.ext&gt;</t>
  </si>
  <si>
    <t>Install NFS Server</t>
  </si>
  <si>
    <t>apt install nfs-kernel-server</t>
  </si>
  <si>
    <t>NFS (Network File System) Server</t>
  </si>
  <si>
    <t>Check the status of the NFS Server</t>
  </si>
  <si>
    <t>systemctl status nfs-kernel-server</t>
  </si>
  <si>
    <t>Enable the NFS Server</t>
  </si>
  <si>
    <t>systemctl enable nfs-kernel-server</t>
  </si>
  <si>
    <t>Assign NFS permission to the directory</t>
  </si>
  <si>
    <t>chmod 777 -R &lt;folderName&gt;</t>
  </si>
  <si>
    <t>Mount the remote file system</t>
  </si>
  <si>
    <t>mount &lt;IP Address:/RemoteFolder LocalFolder&gt;</t>
  </si>
  <si>
    <t>Linux Communication</t>
  </si>
  <si>
    <t>Check if the Linux connection is healthy or not</t>
  </si>
  <si>
    <t>ping &lt;IP Address OR hostName&gt;</t>
  </si>
  <si>
    <t>Establish FTP connection with a remote host</t>
  </si>
  <si>
    <t>ftp &lt;IP Address OR hostName&gt;</t>
  </si>
  <si>
    <t>Download a file from the remote computer</t>
  </si>
  <si>
    <t>Establish FTP connection</t>
  </si>
  <si>
    <t>get &lt;fileName&gt;</t>
  </si>
  <si>
    <t>Leave the FTP connection</t>
  </si>
  <si>
    <t>quit</t>
  </si>
  <si>
    <t>Connect to a remote linux computer</t>
  </si>
  <si>
    <t>Run program remotely and conduct administration</t>
  </si>
  <si>
    <t>Telnet (Similar to the Windows Remote Desktop)</t>
  </si>
  <si>
    <t>telnet &lt;IP Address OR hostName&gt;</t>
  </si>
  <si>
    <t>SSH (Secure Shell)</t>
  </si>
  <si>
    <t>Similar to telnet, but more secure</t>
  </si>
  <si>
    <t>A remote connection is authenticated with a remote connection</t>
  </si>
  <si>
    <t>passwords are encripted</t>
  </si>
  <si>
    <t>Used by Linux administrators to control remote linux servers</t>
  </si>
  <si>
    <t>Connect to the ssh</t>
  </si>
  <si>
    <t>ssh &lt;userName@&lt;IP Address OR hostName&gt;&gt;</t>
  </si>
  <si>
    <t>Mount/Unmount the file systems</t>
  </si>
  <si>
    <t>mount</t>
  </si>
  <si>
    <t>See all the systems currently mounted on your machine</t>
  </si>
  <si>
    <t>See the partitions present on the machine</t>
  </si>
  <si>
    <t>fdisk -l</t>
  </si>
  <si>
    <t>Create a new partition</t>
  </si>
  <si>
    <t>fdisk /dev/sdb</t>
  </si>
  <si>
    <t>n</t>
  </si>
  <si>
    <t>&lt;partitionSize&gt;</t>
  </si>
  <si>
    <t>Save the newly created partition</t>
  </si>
  <si>
    <t>w</t>
  </si>
  <si>
    <t>Update the partition information</t>
  </si>
  <si>
    <t>partprobe /dev/sdb</t>
  </si>
  <si>
    <t>Create file system for the partition</t>
  </si>
  <si>
    <t xml:space="preserve">mkfs.ext4 &lt;partitionName (/dev/sdb)&gt; </t>
  </si>
  <si>
    <t>Mount the local partition</t>
  </si>
  <si>
    <t>mount &lt;partitionName (/dev/sdb)&gt; /disk1</t>
  </si>
  <si>
    <t>Check if the partition is mounted</t>
  </si>
  <si>
    <t>Install nfs utilities</t>
  </si>
  <si>
    <t>yum install nfs-utils -y</t>
  </si>
  <si>
    <t>Show avaiable nfs share</t>
  </si>
  <si>
    <t>showmount -e &lt;server IP&gt;</t>
  </si>
  <si>
    <t>mount the nfs share</t>
  </si>
  <si>
    <t>mount -t &lt;server IP:/nfs share&gt; &lt;directoryToMount&gt;</t>
  </si>
  <si>
    <t>Rebooting the system will automatically unmount the nfs share</t>
  </si>
  <si>
    <t>Unmount the share</t>
  </si>
  <si>
    <t>umount &lt;directoryToMount&gt;</t>
  </si>
  <si>
    <t>vim /etc/fstab</t>
  </si>
  <si>
    <t xml:space="preserve">&lt;server IP:/nfs share&gt; &lt;directoryToMount&gt; nfs defaults 0 0 </t>
  </si>
  <si>
    <t>Mount the nfs share permanently</t>
  </si>
  <si>
    <t>Save the file</t>
  </si>
  <si>
    <t>:wq!</t>
  </si>
  <si>
    <t>mount -a</t>
  </si>
  <si>
    <t>Mount the entries in fstab</t>
  </si>
  <si>
    <t>Mount samba share</t>
  </si>
  <si>
    <t>mount -t cifs -o username=testuser1 //192.168.5.88/open-share /Netmount1</t>
  </si>
  <si>
    <t>Mount share with user Credentials</t>
  </si>
  <si>
    <t>Create a new file with credentials of the samba user for the particular share.</t>
  </si>
  <si>
    <t>vim usercred</t>
  </si>
  <si>
    <t>Add the following lines</t>
  </si>
  <si>
    <t>Username=testuser2
Password=linux</t>
  </si>
  <si>
    <t>mount the share with specifying the credentials option.</t>
  </si>
  <si>
    <t>mount -t cifs -o credentials=/root/usercred //192.168.5.88/protected-share /Netmount2</t>
  </si>
  <si>
    <t>dd command</t>
  </si>
  <si>
    <t>Converts and copies a file</t>
  </si>
  <si>
    <t>Wipe out a drive data</t>
  </si>
  <si>
    <r>
      <t xml:space="preserve">sudo dd if=/dev/urandom of=&lt;partitionToOverride&gt; bs=&lt;blockSize&gt; conv=noerror
</t>
    </r>
    <r>
      <rPr>
        <b/>
        <i/>
        <sz val="11"/>
        <color theme="1"/>
        <rFont val="Calibri"/>
        <family val="2"/>
        <scheme val="minor"/>
      </rPr>
      <t>e.g.</t>
    </r>
    <r>
      <rPr>
        <sz val="11"/>
        <color theme="1"/>
        <rFont val="Calibri"/>
        <family val="2"/>
        <scheme val="minor"/>
      </rPr>
      <t xml:space="preserve"> sudo dd if=/dev/urandom of=/dev/sdb bs=1M conv=noerror</t>
    </r>
  </si>
  <si>
    <t>Take a backup of a file or drive</t>
  </si>
  <si>
    <t>Restore the partition</t>
  </si>
  <si>
    <t>Make a compressed gzip image</t>
  </si>
  <si>
    <r>
      <t xml:space="preserve">dd if=&lt;destDrive&gt; of=&lt;driveToRestore&gt; bs=&lt;blockSize&gt; conv=noerror
</t>
    </r>
    <r>
      <rPr>
        <b/>
        <i/>
        <sz val="11"/>
        <color theme="1"/>
        <rFont val="Calibri"/>
        <family val="2"/>
        <scheme val="minor"/>
      </rPr>
      <t>e.g.</t>
    </r>
    <r>
      <rPr>
        <sz val="11"/>
        <color theme="1"/>
        <rFont val="Calibri"/>
        <family val="2"/>
        <scheme val="minor"/>
      </rPr>
      <t xml:space="preserve"> sudo dd if=/dev/sdc of=/dev/sdb bs=1M conv=noerror</t>
    </r>
  </si>
  <si>
    <t>Backup on a server</t>
  </si>
  <si>
    <r>
      <t xml:space="preserve">dd if=&lt;sourceDrive&gt; | gzip -c - | ssh user@local dd of=image.gz
</t>
    </r>
    <r>
      <rPr>
        <b/>
        <i/>
        <sz val="11"/>
        <color theme="1"/>
        <rFont val="Calibri"/>
        <family val="2"/>
        <scheme val="minor"/>
      </rPr>
      <t>e.g.</t>
    </r>
    <r>
      <rPr>
        <sz val="11"/>
        <color theme="1"/>
        <rFont val="Calibri"/>
        <family val="2"/>
        <scheme val="minor"/>
      </rPr>
      <t xml:space="preserve"> sudo dd if=/dev/sdb | gzip -c &gt;/tmp.test.img.gzip</t>
    </r>
  </si>
  <si>
    <t>Restore a gzip image to the partition</t>
  </si>
  <si>
    <r>
      <t xml:space="preserve">dd if=&lt;sourceDrive&gt; | gzip -c &gt;/&lt;destFile&gt;
</t>
    </r>
    <r>
      <rPr>
        <b/>
        <i/>
        <sz val="11"/>
        <color theme="1"/>
        <rFont val="Calibri"/>
        <family val="2"/>
        <scheme val="minor"/>
      </rPr>
      <t>e.g.</t>
    </r>
    <r>
      <rPr>
        <sz val="11"/>
        <color theme="1"/>
        <rFont val="Calibri"/>
        <family val="2"/>
        <scheme val="minor"/>
      </rPr>
      <t xml:space="preserve"> sudo dd if=/dev/sdb | gzip -c &gt;/tmp.test.img.gz</t>
    </r>
  </si>
  <si>
    <r>
      <t xml:space="preserve">gzip -dc &lt;image&gt; | dd of=&lt;destDrive&gt;
</t>
    </r>
    <r>
      <rPr>
        <b/>
        <i/>
        <sz val="11"/>
        <color theme="1"/>
        <rFont val="Calibri"/>
        <family val="2"/>
        <scheme val="minor"/>
      </rPr>
      <t>e.g</t>
    </r>
    <r>
      <rPr>
        <sz val="11"/>
        <color theme="1"/>
        <rFont val="Calibri"/>
        <family val="2"/>
        <scheme val="minor"/>
      </rPr>
      <t>. gzip -dc /tmp.test.img.gz | dd of=/dev/sdb</t>
    </r>
  </si>
  <si>
    <t>Create a bootable USB drive</t>
  </si>
  <si>
    <r>
      <t xml:space="preserve">dd if=&lt;fileToBackup&gt; of=&lt;destDrive&gt; bs=&lt;blockSize&gt; conv=noerror
</t>
    </r>
    <r>
      <rPr>
        <b/>
        <i/>
        <sz val="11"/>
        <color theme="1"/>
        <rFont val="Calibri"/>
        <family val="2"/>
        <scheme val="minor"/>
      </rPr>
      <t>e.g.</t>
    </r>
    <r>
      <rPr>
        <sz val="11"/>
        <color theme="1"/>
        <rFont val="Calibri"/>
        <family val="2"/>
        <scheme val="minor"/>
      </rPr>
      <t xml:space="preserve"> sudo dd if=/dev/sdb of=/dev/sdc bs=1M conv=noerror</t>
    </r>
  </si>
  <si>
    <t>File carving</t>
  </si>
  <si>
    <r>
      <t xml:space="preserve">dd if=&lt;iso file&gt; of=&lt;destDrive&gt; bs=&lt;blockSize&gt;
</t>
    </r>
    <r>
      <rPr>
        <b/>
        <i/>
        <sz val="11"/>
        <color theme="1"/>
        <rFont val="Calibri"/>
        <family val="2"/>
        <scheme val="minor"/>
      </rPr>
      <t>e.g.</t>
    </r>
    <r>
      <rPr>
        <sz val="11"/>
        <color theme="1"/>
        <rFont val="Calibri"/>
        <family val="2"/>
        <scheme val="minor"/>
      </rPr>
      <t xml:space="preserve"> dd if=~Downloads/linuxmint-20-xsfc.iso of=/dev/sdb bs=1M</t>
    </r>
  </si>
  <si>
    <r>
      <t xml:space="preserve">dd if=&lt;sourceFile&gt; of=&lt;destFile&gt; bs=&lt;blockSize&gt; skip=&lt;skipBytes&gt; count=&lt;numOfBytes&gt;
</t>
    </r>
    <r>
      <rPr>
        <b/>
        <i/>
        <sz val="11"/>
        <color theme="1"/>
        <rFont val="Calibri"/>
        <family val="2"/>
        <scheme val="minor"/>
      </rPr>
      <t>e.g.</t>
    </r>
    <r>
      <rPr>
        <sz val="11"/>
        <color theme="1"/>
        <rFont val="Calibri"/>
        <family val="2"/>
        <scheme val="minor"/>
      </rPr>
      <t xml:space="preserve"> dd if=/dev/mayuresh/test1.txt of=/dev/mayuresh/test2.txt bs=1 skip=5 count=2</t>
    </r>
  </si>
  <si>
    <t>Login as administrator</t>
  </si>
  <si>
    <t>sudo -i</t>
  </si>
  <si>
    <t>Logoff as administrator</t>
  </si>
  <si>
    <t>exit</t>
  </si>
  <si>
    <t>Open the file itself</t>
  </si>
  <si>
    <r>
      <t xml:space="preserve">nano &lt;fileName&gt;
</t>
    </r>
    <r>
      <rPr>
        <b/>
        <i/>
        <sz val="11"/>
        <color theme="1"/>
        <rFont val="Calibri"/>
        <family val="2"/>
        <scheme val="minor"/>
      </rPr>
      <t>e.g.</t>
    </r>
    <r>
      <rPr>
        <sz val="11"/>
        <color theme="1"/>
        <rFont val="Calibri"/>
        <family val="2"/>
        <scheme val="minor"/>
      </rPr>
      <t xml:space="preserve"> nano /etc/passwd</t>
    </r>
  </si>
  <si>
    <t>Add user comment while creating the user</t>
  </si>
  <si>
    <t>useradd &lt;newUserName&gt; -c "&lt;Comment&gt;"</t>
  </si>
  <si>
    <t>Set the user home directory while creating the user</t>
  </si>
  <si>
    <t>useradd &lt;newUserName&gt; -d "&lt;alternate folder&gt;"</t>
  </si>
  <si>
    <t>Set UID of your choice</t>
  </si>
  <si>
    <t>useradd &lt;newUserName&gt; -u &lt;custom UID&gt;</t>
  </si>
  <si>
    <t>Assign the new user to existing group</t>
  </si>
  <si>
    <t>File containing the group names</t>
  </si>
  <si>
    <t>/etc/group</t>
  </si>
  <si>
    <t>useradd &lt;newUserName&gt; -g &lt;groupName&gt;</t>
  </si>
  <si>
    <t>Add user to a supplementary group</t>
  </si>
  <si>
    <t>Supplementary group</t>
  </si>
  <si>
    <t>Check the list of groups for a user</t>
  </si>
  <si>
    <t>lid &lt;userName&gt;</t>
  </si>
  <si>
    <t>useradd &lt;newUserName&gt; -G &lt;groupName&gt;</t>
  </si>
  <si>
    <t>100-999</t>
  </si>
  <si>
    <t>UID range for the user</t>
  </si>
  <si>
    <t>No</t>
  </si>
  <si>
    <r>
      <t xml:space="preserve">Can we create multiple users with </t>
    </r>
    <r>
      <rPr>
        <b/>
        <i/>
        <sz val="11"/>
        <color theme="1"/>
        <rFont val="Calibri"/>
        <family val="2"/>
        <scheme val="minor"/>
      </rPr>
      <t>'useradd'</t>
    </r>
    <r>
      <rPr>
        <sz val="11"/>
        <color theme="1"/>
        <rFont val="Calibri"/>
        <family val="2"/>
        <scheme val="minor"/>
      </rPr>
      <t xml:space="preserve"> command like we can create directories and files? </t>
    </r>
  </si>
  <si>
    <t>Delete a user</t>
  </si>
  <si>
    <t>userdel &lt;userName&gt;</t>
  </si>
  <si>
    <t>Get the last n lines on the terminal</t>
  </si>
  <si>
    <t>tail -n &lt;number Of Lines&gt; &lt;fileName.extension&gt;</t>
  </si>
  <si>
    <t>All the processes run by a user</t>
  </si>
  <si>
    <t>ps ax</t>
  </si>
  <si>
    <t>Configure directory to share remotely</t>
  </si>
  <si>
    <t>Open the configuration file</t>
  </si>
  <si>
    <t>vi /etc/exports</t>
  </si>
  <si>
    <t>Press 'Enter' to enter data in the next line</t>
  </si>
  <si>
    <t>&lt;directoryName&gt; &lt;client-side IP Address&gt;(&lt;custom Arguments&gt;</t>
  </si>
  <si>
    <t>rw- Read and Write permissions</t>
  </si>
  <si>
    <t>sync - sync the files with the host system</t>
  </si>
  <si>
    <t>no_root_squash - Xeny root priviledge to the client</t>
  </si>
  <si>
    <t>no_subrtee_checks - Disable checking availability of the file for every client request</t>
  </si>
  <si>
    <t>Press 'Esc' after completing the edit</t>
  </si>
  <si>
    <t>:wq</t>
  </si>
  <si>
    <t>Restart the service</t>
  </si>
  <si>
    <t>systemctl restart nfs-kernel-server</t>
  </si>
  <si>
    <t>NFS (Network File System) Client</t>
  </si>
  <si>
    <t>Install NFS-Client package</t>
  </si>
  <si>
    <t>apt install nfs-common</t>
  </si>
  <si>
    <t>Map the remote NFS Server directory to the client directory</t>
  </si>
  <si>
    <t>mount &lt;Server IP Address&gt;:&lt;server folderName&gt; &lt;client Folder&gt;</t>
  </si>
  <si>
    <t>Vim editor in Ubuntu</t>
  </si>
  <si>
    <t>Install vim</t>
  </si>
  <si>
    <t>sudo apt install vim</t>
  </si>
  <si>
    <t>Open a file using vim</t>
  </si>
  <si>
    <t>vim &lt;fileName&gt;</t>
  </si>
  <si>
    <t>Go to data insert/replace mode</t>
  </si>
  <si>
    <t>Insert key. Press repeatedly to switch between insert/replace mode</t>
  </si>
  <si>
    <t>Go to command mode (after data update is completed)</t>
  </si>
  <si>
    <t>Esc</t>
  </si>
  <si>
    <t>Exit the file after saving the changes</t>
  </si>
  <si>
    <t>Exit the file and discard the changes</t>
  </si>
  <si>
    <t>:q!</t>
  </si>
  <si>
    <t>:help</t>
  </si>
  <si>
    <t>Get help for vim</t>
  </si>
  <si>
    <t>If 'useradd' command is not working</t>
  </si>
  <si>
    <t>adduser &lt;userName&gt;</t>
  </si>
  <si>
    <t>Difference between java and python</t>
  </si>
  <si>
    <t>Simple and Easy to learn</t>
  </si>
  <si>
    <t>Interpreted language. No need of compiler to make the code run</t>
  </si>
  <si>
    <t>Python is dynamically typed language. The variable types are decided based upon the value</t>
  </si>
  <si>
    <t>Java is static typed. i.e. the type of variable must be declared at the time of creating the variable</t>
  </si>
  <si>
    <t>In java, you cannot write generic code in the class file</t>
  </si>
  <si>
    <t>Python is a generic language. You can write generic code in a class file</t>
  </si>
  <si>
    <t>Python has better exception handling capacity than java</t>
  </si>
  <si>
    <t>Python is a high-level language, which abstracts away many low-level details</t>
  </si>
  <si>
    <t>Command to install playwright on python</t>
  </si>
  <si>
    <t>pip install playwright</t>
  </si>
  <si>
    <t>command to install all the browser drivers for playwright</t>
  </si>
  <si>
    <t>python -m playwright install</t>
  </si>
  <si>
    <t>Playwright advantages</t>
  </si>
  <si>
    <t>Supports all the browsers with a single API installation</t>
  </si>
  <si>
    <t>Multi-browser support: Executes the same testcase on multiple browsers</t>
  </si>
  <si>
    <t>Parallel testing: 
        All the browsers would execute all the testcases, unlike selenium, which divides the testcases across browsers</t>
  </si>
  <si>
    <t>How to check if python is installed successfully</t>
  </si>
  <si>
    <t>Go to command prompt/ terminal</t>
  </si>
  <si>
    <t>type 'python'</t>
  </si>
  <si>
    <t>If a python interpreter is opened, the python is successfully installed</t>
  </si>
  <si>
    <t>Get the address of a variable</t>
  </si>
  <si>
    <t>id(variable_name)</t>
  </si>
  <si>
    <t>Get the type of the value the variable is storing</t>
  </si>
  <si>
    <t>type(variable_name)</t>
  </si>
  <si>
    <t>Lexical grammar rules</t>
  </si>
  <si>
    <t>A variable starts with a letter or underscore</t>
  </si>
  <si>
    <t>(a-z | A-Z | _)</t>
  </si>
  <si>
    <t>Then the variable naming continues with a letter or digit or underscore</t>
  </si>
  <si>
    <t>(a-z | A-Z | 0-9 | _)</t>
  </si>
  <si>
    <t>The python language is case sensitive</t>
  </si>
  <si>
    <t>Name' is not the same as 'name'</t>
  </si>
  <si>
    <t>The variable name cannot be a keyword</t>
  </si>
  <si>
    <t>The variable name cannot be a constant</t>
  </si>
  <si>
    <t>No other special character except underscore is allowed to use in the variable name</t>
  </si>
  <si>
    <t>Multiple assignments</t>
  </si>
  <si>
    <t>Mention multiple variables, separated by comma, and then assign their respective values, separated by comma</t>
  </si>
  <si>
    <t>Convert decimal number to integer</t>
  </si>
  <si>
    <t>int(edcimal_variable)</t>
  </si>
  <si>
    <t>int(1.1) -&gt; 1</t>
  </si>
  <si>
    <t>Exponential number</t>
  </si>
  <si>
    <t>Number * power of 10</t>
  </si>
  <si>
    <t>38</t>
  </si>
  <si>
    <t>40</t>
  </si>
  <si>
    <t>How to check xpath/css in browser console</t>
  </si>
  <si>
    <t>Press 'Esc' to open the console</t>
  </si>
  <si>
    <t>Type : $X("")</t>
  </si>
  <si>
    <t>Enter xpath in the double-quotes</t>
  </si>
  <si>
    <t>Use $$("") for css</t>
  </si>
  <si>
    <t>File Handling</t>
  </si>
  <si>
    <t xml:space="preserve">    Read File</t>
  </si>
  <si>
    <t xml:space="preserve">file_path = 'abc.txt'
try:
    f_handle=open(file_path, 'r')
except:
    </t>
  </si>
  <si>
    <t>How to check efficiency of sorting algorithms?</t>
  </si>
  <si>
    <t>Efficiency</t>
  </si>
  <si>
    <t>Memory Requirement</t>
  </si>
  <si>
    <t>Adversery input</t>
  </si>
  <si>
    <t>Insertion Sort</t>
  </si>
  <si>
    <t>Merge Sort</t>
  </si>
  <si>
    <t>Quick Sort</t>
  </si>
  <si>
    <t>N^2</t>
  </si>
  <si>
    <t>N logN</t>
  </si>
  <si>
    <t>In-Place Sort</t>
  </si>
  <si>
    <t>Present</t>
  </si>
  <si>
    <t>Not Present</t>
  </si>
  <si>
    <t>Jeknins Commands to execute python scripts</t>
  </si>
  <si>
    <t>Build Environment &gt; Build &gt; 
        call ./venv/Scripts/activate.bat
        cd &lt;TestCaseFolder&gt;
        pytest -v -s &lt;test_file_name&gt;  --allureDir="../Reports"</t>
  </si>
  <si>
    <t>Post-Build Action:
        Allure Report &gt; Results &gt; Path &gt; &lt;ReportsFolder&gt;</t>
  </si>
  <si>
    <t>Build the project</t>
  </si>
  <si>
    <t>Integarte Github with Jenkins</t>
  </si>
  <si>
    <t>1. Copy the Github project path (Repository URL)</t>
  </si>
  <si>
    <t>2. Go to Jenkins &gt; Configure &gt; General &gt; Github Project</t>
  </si>
  <si>
    <t>3. Enter the project path there</t>
  </si>
  <si>
    <t>Add Github project link to jenkins</t>
  </si>
  <si>
    <t>Enter code from Git to Jenkins</t>
  </si>
  <si>
    <t>3. Enter the URL to Git &gt; Repositories &gt; Repository URL</t>
  </si>
  <si>
    <r>
      <t xml:space="preserve">1. Copy the Github project code URL (Which we use to clone the project. Ends in </t>
    </r>
    <r>
      <rPr>
        <b/>
        <sz val="11"/>
        <color theme="1"/>
        <rFont val="Calibri"/>
        <family val="2"/>
        <scheme val="minor"/>
      </rPr>
      <t>*.git</t>
    </r>
    <r>
      <rPr>
        <sz val="11"/>
        <color theme="1"/>
        <rFont val="Calibri"/>
        <family val="2"/>
        <scheme val="minor"/>
      </rPr>
      <t>)</t>
    </r>
  </si>
  <si>
    <t>Remove the code from the local location</t>
  </si>
  <si>
    <t>2. Go to Jenkins &gt; Configure &gt; Source Code Management</t>
  </si>
  <si>
    <t xml:space="preserve">1. Go to Jenkins &gt; Configure &gt; General &gt; Advanced </t>
  </si>
  <si>
    <t>2. Uncheck 'Use Custom Workspace'</t>
  </si>
  <si>
    <t>4. Provide the Git repository credentials</t>
  </si>
  <si>
    <t>5. Go to 'Branches to Build'</t>
  </si>
  <si>
    <t>6. Specify the Branch</t>
  </si>
  <si>
    <t>Set the python virtual environment to execute before the code</t>
  </si>
  <si>
    <t>1. Go to Jenkins &gt; Configure &gt; Build Environment &gt; Build &gt; Command</t>
  </si>
  <si>
    <t xml:space="preserve">        python -m venv env
        call ./venv/Scripts/activate.bat
        pip install -r &lt;Requirements File Name&gt;
        cd &lt;TestCaseFolder&gt;
        pytest -v -s &lt;test_file_name&gt;  --allureDir="../Reports"</t>
  </si>
  <si>
    <t>Setup git and Jenkins for Continuous Integration</t>
  </si>
  <si>
    <t>1. Go to Jenkins &gt; Configure &gt; Build Triggers &gt; Poll SCM</t>
  </si>
  <si>
    <t>2. Set Schedule to 'Every Minute' as per the syntax provided there</t>
  </si>
  <si>
    <t>3. Any update in the repository would automatically trigger the run</t>
  </si>
  <si>
    <t>What is exception test in Selenium</t>
  </si>
  <si>
    <t>An exception test is a test that expects an exception to be thrown inside a test class. It expects a @Test annotation followed by the expected exception name in the brackets.</t>
  </si>
  <si>
    <r>
      <t xml:space="preserve">Eg: </t>
    </r>
    <r>
      <rPr>
        <b/>
        <sz val="11"/>
        <color theme="1"/>
        <rFont val="Calibri"/>
        <family val="2"/>
        <scheme val="minor"/>
      </rPr>
      <t>@Test(expectedException = NoSuchElementException.class)</t>
    </r>
    <r>
      <rPr>
        <sz val="11"/>
        <color theme="1"/>
        <rFont val="Calibri"/>
        <family val="2"/>
        <scheme val="minor"/>
      </rPr>
      <t xml:space="preserve"> is an exception test for missing elements in Selenium.</t>
    </r>
  </si>
  <si>
    <t>Find a particular element in the table</t>
  </si>
  <si>
    <r>
      <rPr>
        <b/>
        <sz val="11"/>
        <color theme="1"/>
        <rFont val="Calibri"/>
        <family val="2"/>
        <scheme val="minor"/>
      </rPr>
      <t>Syntax:</t>
    </r>
    <r>
      <rPr>
        <sz val="11"/>
        <color theme="1"/>
        <rFont val="Calibri"/>
        <family val="2"/>
        <scheme val="minor"/>
      </rPr>
      <t xml:space="preserve">
1. //table[@class='class name of table']/tbody/tr[row no]/td[column no]</t>
    </r>
  </si>
  <si>
    <t>driver.findElemnt(By.xpath("//table[@class='dataTable']/tbody/tr[1]/td[1]")).getText();</t>
  </si>
  <si>
    <t>Print the data inside single cell</t>
  </si>
  <si>
    <t>Print total number of rows</t>
  </si>
  <si>
    <t>Print total number of column</t>
  </si>
  <si>
    <t>Table xpath</t>
  </si>
  <si>
    <t>//table[@class=&lt;value&gt;]</t>
  </si>
  <si>
    <t>Table row</t>
  </si>
  <si>
    <t>Table Column</t>
  </si>
  <si>
    <r>
      <t>//table//tr[&lt;rowNum&gt;]/</t>
    </r>
    <r>
      <rPr>
        <b/>
        <sz val="11"/>
        <color rgb="FFFF0000"/>
        <rFont val="Calibri"/>
        <family val="2"/>
        <scheme val="minor"/>
      </rPr>
      <t>td[&lt;columnNum&gt;]</t>
    </r>
  </si>
  <si>
    <r>
      <t>//table//</t>
    </r>
    <r>
      <rPr>
        <b/>
        <sz val="11"/>
        <color rgb="FFFF0000"/>
        <rFont val="Calibri"/>
        <family val="2"/>
        <scheme val="minor"/>
      </rPr>
      <t>tr[&lt;rowNum&gt;]</t>
    </r>
  </si>
  <si>
    <t>driver.findElemnts(By.xpath("//table[@class='dataTable']/tbody/tr")).size();</t>
  </si>
  <si>
    <t>driver.findElemnts(By.xpath("//table[@class='dataTable']/tbody/tr[1]/td")).size();</t>
  </si>
  <si>
    <t>Pass the value in input box</t>
  </si>
  <si>
    <t xml:space="preserve"> To click</t>
  </si>
  <si>
    <t>To uncheck the checkbox</t>
  </si>
  <si>
    <t>Find the webElement where we need to do mouse hover</t>
  </si>
  <si>
    <t>WebElement MainMenu=driver.findElement(By.xpath("Xpath Expression"));</t>
  </si>
  <si>
    <r>
      <t>1. To do all the mouse simulation we use "Actions" class.</t>
    </r>
    <r>
      <rPr>
        <b/>
        <sz val="11"/>
        <color theme="1"/>
        <rFont val="Calibri"/>
        <family val="2"/>
        <scheme val="minor"/>
      </rPr>
      <t/>
    </r>
  </si>
  <si>
    <t>Used to moving cursor</t>
  </si>
  <si>
    <t>Right click on the page</t>
  </si>
  <si>
    <t>Actions act = new Actions(driver);</t>
  </si>
  <si>
    <t>1. Get the xpath of droplist.</t>
  </si>
  <si>
    <t xml:space="preserve"> dropDown = driver.findElement(By.tagName("select"));</t>
  </si>
  <si>
    <t>2. Send it to the constructor of 'Select' class.</t>
  </si>
  <si>
    <t>Select select = new Select(dropDown);</t>
  </si>
  <si>
    <r>
      <t>Commands:
select</t>
    </r>
    <r>
      <rPr>
        <i/>
        <sz val="11"/>
        <color theme="1"/>
        <rFont val="Calibri"/>
        <family val="2"/>
        <scheme val="minor"/>
      </rPr>
      <t>.</t>
    </r>
    <r>
      <rPr>
        <i/>
        <u/>
        <sz val="11"/>
        <color theme="1"/>
        <rFont val="Calibri"/>
        <family val="2"/>
        <scheme val="minor"/>
      </rPr>
      <t>getFirstSelectedOption().getText();</t>
    </r>
    <r>
      <rPr>
        <sz val="11"/>
        <color theme="1"/>
        <rFont val="Calibri"/>
        <family val="2"/>
        <scheme val="minor"/>
      </rPr>
      <t xml:space="preserve">
select</t>
    </r>
    <r>
      <rPr>
        <i/>
        <u/>
        <sz val="11"/>
        <color theme="1"/>
        <rFont val="Calibri"/>
        <family val="2"/>
        <scheme val="minor"/>
      </rPr>
      <t>.selectByVisibleText(" abc");</t>
    </r>
    <r>
      <rPr>
        <sz val="11"/>
        <color theme="1"/>
        <rFont val="Calibri"/>
        <family val="2"/>
        <scheme val="minor"/>
      </rPr>
      <t xml:space="preserve">
select</t>
    </r>
    <r>
      <rPr>
        <i/>
        <u/>
        <sz val="11"/>
        <color theme="1"/>
        <rFont val="Calibri"/>
        <family val="2"/>
        <scheme val="minor"/>
      </rPr>
      <t>.selectByIndex(3);</t>
    </r>
    <r>
      <rPr>
        <sz val="11"/>
        <color theme="1"/>
        <rFont val="Calibri"/>
        <family val="2"/>
        <scheme val="minor"/>
      </rPr>
      <t xml:space="preserve">
select</t>
    </r>
    <r>
      <rPr>
        <i/>
        <u/>
        <sz val="11"/>
        <color theme="1"/>
        <rFont val="Calibri"/>
        <family val="2"/>
        <scheme val="minor"/>
      </rPr>
      <t>.selectByValue("4");</t>
    </r>
    <r>
      <rPr>
        <sz val="11"/>
        <color theme="1"/>
        <rFont val="Calibri"/>
        <family val="2"/>
        <scheme val="minor"/>
      </rPr>
      <t xml:space="preserve">
select.</t>
    </r>
    <r>
      <rPr>
        <i/>
        <u/>
        <sz val="11"/>
        <color theme="1"/>
        <rFont val="Calibri"/>
        <family val="2"/>
        <scheme val="minor"/>
      </rPr>
      <t>getOptions().size();</t>
    </r>
    <r>
      <rPr>
        <sz val="11"/>
        <color theme="1"/>
        <rFont val="Calibri"/>
        <family val="2"/>
        <scheme val="minor"/>
      </rPr>
      <t xml:space="preserve">
select.</t>
    </r>
    <r>
      <rPr>
        <i/>
        <u/>
        <sz val="11"/>
        <color theme="1"/>
        <rFont val="Calibri"/>
        <family val="2"/>
        <scheme val="minor"/>
      </rPr>
      <t>isMultiple();</t>
    </r>
    <r>
      <rPr>
        <sz val="11"/>
        <color theme="1"/>
        <rFont val="Calibri"/>
        <family val="2"/>
        <scheme val="minor"/>
      </rPr>
      <t xml:space="preserve"> //tells droplist supports multiple selecting options or not at the same time.</t>
    </r>
  </si>
  <si>
    <t>all radio button</t>
  </si>
  <si>
    <t>List &lt;WebElement&gt; radios = driver.findElements(By.xpath(//input[@type = "radio"]));</t>
  </si>
  <si>
    <t>Total no of radio button</t>
  </si>
  <si>
    <t xml:space="preserve">System.out.println("Total radio buttons - " + radios.size()); // </t>
  </si>
  <si>
    <t>System.out.println(radios.get(0).isDisplayed());
System.out.println(radios.get(0).isEnabled());
System.out.println(radios.get(0).isSelected());</t>
  </si>
  <si>
    <t>radios.get(1).click();</t>
  </si>
  <si>
    <t>Alerts</t>
  </si>
  <si>
    <t>Create Alert element</t>
  </si>
  <si>
    <t>WebElement alertElem = driver.findElement(By.linkText("Alert"));</t>
  </si>
  <si>
    <t>alertElem.click();</t>
  </si>
  <si>
    <t>lastWindowHandle = iter.next();</t>
  </si>
  <si>
    <t>Switch to new tab</t>
  </si>
  <si>
    <t>Set&lt;String&gt; winids = driver.getWindowHandles();
Iterator&lt;String&gt; iter = winids.iterator();
String lastWindowHandle = new String();
while(iter.hasNext())
        driver.switchTo().window(lastWindowHandle);</t>
  </si>
  <si>
    <t>Working on alert</t>
  </si>
  <si>
    <t>Generate Alert</t>
  </si>
  <si>
    <t>Create Alert object</t>
  </si>
  <si>
    <t>Alert alert = driver.switchTo().alert();</t>
  </si>
  <si>
    <t>Get Alert Text</t>
  </si>
  <si>
    <t>alert.getText();</t>
  </si>
  <si>
    <t>alert.dismiss();</t>
  </si>
  <si>
    <t>Go back to the main page</t>
  </si>
  <si>
    <t>driver.swithTo().defaultContent();</t>
  </si>
  <si>
    <t>Send text to alert</t>
  </si>
  <si>
    <t>alert.sendKey("&lt;Text&gt;");</t>
  </si>
  <si>
    <t>alert.accept();</t>
  </si>
  <si>
    <t xml:space="preserve">Take Screenshot </t>
  </si>
  <si>
    <t>Ashot</t>
  </si>
  <si>
    <t>import ru.yandex.qatools.ashot.AShot;
import ru.yandex.qatools.ashot.Screenshot;
import ru.yandex.qatools.ashot.shooting.ShootingStrategies;</t>
  </si>
  <si>
    <t>Screenshot fullSS = new AShot().
    shootingStrategy(ShootingStrategies.viewportPasting(2000))
    .takeScreenshot(driver);</t>
  </si>
  <si>
    <t>import javax.imageio.ImageIO;</t>
  </si>
  <si>
    <t>Working with images in java</t>
  </si>
  <si>
    <t>ImageIO.write(fullSS.getImage(), "jpg", new File(".\\target\\ScreenShots\\ashotFullPageSS.jpg"));</t>
  </si>
  <si>
    <t>Create a file with screenshot</t>
  </si>
  <si>
    <t>Selenium Listeners</t>
  </si>
  <si>
    <t>Start Selenium Listener</t>
  </si>
  <si>
    <t>public class WebListeners extends AbstractWebDriverEventListener</t>
  </si>
  <si>
    <t xml:space="preserve">Create selenium Weblisteners class </t>
  </si>
  <si>
    <t>Find all the links on the web page</t>
  </si>
  <si>
    <t>List&lt;WebElement&gt; linkElements = driver.findElements(By.tagName("a"));</t>
  </si>
  <si>
    <t>Find links inside another table on the page</t>
  </si>
  <si>
    <r>
      <t xml:space="preserve">  WebElement </t>
    </r>
    <r>
      <rPr>
        <b/>
        <sz val="11"/>
        <color theme="1"/>
        <rFont val="Calibri"/>
        <family val="2"/>
        <scheme val="minor"/>
      </rPr>
      <t>otherProjects</t>
    </r>
    <r>
      <rPr>
        <sz val="11"/>
        <color theme="1"/>
        <rFont val="Calibri"/>
        <family val="2"/>
        <scheme val="minor"/>
      </rPr>
      <t xml:space="preserve"> = driver.findElement(By.cssSelector("div.other-projects"));
  </t>
    </r>
    <r>
      <rPr>
        <b/>
        <sz val="11"/>
        <color theme="1"/>
        <rFont val="Calibri"/>
        <family val="2"/>
        <scheme val="minor"/>
      </rPr>
      <t>linkElements</t>
    </r>
    <r>
      <rPr>
        <sz val="11"/>
        <color theme="1"/>
        <rFont val="Calibri"/>
        <family val="2"/>
        <scheme val="minor"/>
      </rPr>
      <t xml:space="preserve"> = </t>
    </r>
    <r>
      <rPr>
        <b/>
        <sz val="11"/>
        <color theme="1"/>
        <rFont val="Calibri"/>
        <family val="2"/>
        <scheme val="minor"/>
      </rPr>
      <t>otherProjects</t>
    </r>
    <r>
      <rPr>
        <sz val="11"/>
        <color theme="1"/>
        <rFont val="Calibri"/>
        <family val="2"/>
        <scheme val="minor"/>
      </rPr>
      <t>.findElements(By.tagName("a"));</t>
    </r>
  </si>
  <si>
    <t>Get URLs from the link</t>
  </si>
  <si>
    <t>System.out.println("Link URL: " + element.getAttribute("href"));</t>
  </si>
  <si>
    <t>Calendar in java</t>
  </si>
  <si>
    <t>import java.util.Calendar;
import java.util.concurrent.TimeUnit;</t>
  </si>
  <si>
    <t xml:space="preserve"> Calendar cal = Calendar.getInstance();
  currentDay = cal.get(Calendar.DAY_OF_MONTH);
  currentMonth = cal.get(Calendar.MONTH)+1;
  currentYear = cal.get(Calendar.YEAR);</t>
  </si>
  <si>
    <t>public static void getTargetDateMonthYear(String date)</t>
  </si>
  <si>
    <t>public static void getCurrentDateMonthYear()</t>
  </si>
  <si>
    <t>int firstIndex = date.indexOf("/");
  int lastIndex = date.lastIndexOf("/");
  String day = date.substring(0, firstIndex);
  targetDay = Integer.parseInt(day);
  String month = date.substring(firstIndex+1, lastIndex);
  targetMonth = Integer.parseInt(month);
  String year = date.substring(lastIndex+1);
  targetYear = Integer.parseInt(year);</t>
  </si>
  <si>
    <t>List &lt;WebElement&gt; checkBox = driver.findElements(By.xpath(//input[@type = "checkbox"])); // all checkboxes
Rest commands are same as radio button.</t>
  </si>
  <si>
    <t>Select the radio button</t>
  </si>
  <si>
    <t>Get the radio button text</t>
  </si>
  <si>
    <t>radios.get(1).getText();</t>
  </si>
  <si>
    <r>
      <rPr>
        <b/>
        <sz val="11"/>
        <color theme="1"/>
        <rFont val="Calibri"/>
        <family val="2"/>
        <scheme val="minor"/>
      </rPr>
      <t>Steps:</t>
    </r>
    <r>
      <rPr>
        <sz val="11"/>
        <color theme="1"/>
        <rFont val="Calibri"/>
        <family val="2"/>
        <scheme val="minor"/>
      </rPr>
      <t xml:space="preserve">
1. //Find the elements which needs to be dragged.</t>
    </r>
  </si>
  <si>
    <t>2. // Find the element which needs to be dropped</t>
  </si>
  <si>
    <t>3. //Using Actions class</t>
  </si>
  <si>
    <t>Screenshot with Selenium driver typecasting</t>
  </si>
  <si>
    <t>import java.io.File;
import javax.imageio.ImageIO;
import org.apache.commons.io.FileUtils;</t>
  </si>
  <si>
    <t>Get Full screenshot</t>
  </si>
  <si>
    <t>Get Partial screenshot</t>
  </si>
  <si>
    <t>import java.awt.image.BufferedImage;</t>
  </si>
  <si>
    <t xml:space="preserve">
  BufferedImage fullSS = ImageIO.read(screenshot);
  Point point = submitElem.getLocation();
  int elemHeight = submitElem.getSize().getHeight();
  int elemWidth = submitElem.getSize().getWidth();
  BufferedImage elemSS = fullSS.getSubimage(point.getX(), point.getY(), elemWidth, elemHeight);
  ImageIO.write(elemSS, "jpg", screenshot);
  File elemSSLocation = new File(".\\target\\ScreenShots\\ElemSS.jpg");
  FileUtils.copyFile(screenshot, elemSSLocation);</t>
  </si>
  <si>
    <t>How to get the dynamic path in java</t>
  </si>
  <si>
    <t>".\\"</t>
  </si>
  <si>
    <t>Current program directory</t>
  </si>
  <si>
    <t xml:space="preserve">System.getProperty("user.dir") </t>
  </si>
  <si>
    <r>
      <t xml:space="preserve">create table &lt;tableName&gt;(
</t>
    </r>
    <r>
      <rPr>
        <b/>
        <sz val="11"/>
        <color rgb="FFFF0000"/>
        <rFont val="Calibri"/>
        <family val="2"/>
        <scheme val="minor"/>
      </rPr>
      <t>&lt;columnName&gt;</t>
    </r>
    <r>
      <rPr>
        <sz val="11"/>
        <color theme="1"/>
        <rFont val="Calibri"/>
        <family val="2"/>
        <scheme val="minor"/>
      </rPr>
      <t xml:space="preserve"> </t>
    </r>
    <r>
      <rPr>
        <b/>
        <sz val="11"/>
        <color theme="3"/>
        <rFont val="Calibri"/>
        <family val="2"/>
        <scheme val="minor"/>
      </rPr>
      <t>&lt;valueType&gt;</t>
    </r>
    <r>
      <rPr>
        <sz val="11"/>
        <color theme="1"/>
        <rFont val="Calibri"/>
        <family val="2"/>
        <scheme val="minor"/>
      </rPr>
      <t xml:space="preserve"> </t>
    </r>
    <r>
      <rPr>
        <b/>
        <sz val="11"/>
        <color rgb="FFFFC000"/>
        <rFont val="Calibri"/>
        <family val="2"/>
        <scheme val="minor"/>
      </rPr>
      <t>&lt;any special command&gt;</t>
    </r>
    <r>
      <rPr>
        <sz val="11"/>
        <color rgb="FFFFC000"/>
        <rFont val="Calibri"/>
        <family val="2"/>
        <scheme val="minor"/>
      </rPr>
      <t>,</t>
    </r>
    <r>
      <rPr>
        <sz val="11"/>
        <color theme="1"/>
        <rFont val="Calibri"/>
        <family val="2"/>
        <scheme val="minor"/>
      </rPr>
      <t xml:space="preserve">
</t>
    </r>
    <r>
      <rPr>
        <b/>
        <sz val="11"/>
        <color rgb="FFFF0000"/>
        <rFont val="Calibri"/>
        <family val="2"/>
        <scheme val="minor"/>
      </rPr>
      <t>&lt;columnName&gt;</t>
    </r>
    <r>
      <rPr>
        <sz val="11"/>
        <color theme="1"/>
        <rFont val="Calibri"/>
        <family val="2"/>
        <scheme val="minor"/>
      </rPr>
      <t xml:space="preserve"> </t>
    </r>
    <r>
      <rPr>
        <b/>
        <sz val="11"/>
        <color theme="3"/>
        <rFont val="Calibri"/>
        <family val="2"/>
        <scheme val="minor"/>
      </rPr>
      <t>&lt;valueType&gt;</t>
    </r>
    <r>
      <rPr>
        <sz val="11"/>
        <color theme="1"/>
        <rFont val="Calibri"/>
        <family val="2"/>
        <scheme val="minor"/>
      </rPr>
      <t xml:space="preserve"> </t>
    </r>
    <r>
      <rPr>
        <b/>
        <sz val="11"/>
        <color rgb="FFFFC000"/>
        <rFont val="Calibri"/>
        <family val="2"/>
        <scheme val="minor"/>
      </rPr>
      <t>&lt;any special command&gt;</t>
    </r>
    <r>
      <rPr>
        <sz val="11"/>
        <color theme="1"/>
        <rFont val="Calibri"/>
        <family val="2"/>
        <scheme val="minor"/>
      </rPr>
      <t xml:space="preserve"> )</t>
    </r>
  </si>
  <si>
    <r>
      <rPr>
        <b/>
        <sz val="11"/>
        <color theme="1"/>
        <rFont val="Calibri"/>
        <family val="2"/>
        <scheme val="minor"/>
      </rPr>
      <t>e.g.</t>
    </r>
    <r>
      <rPr>
        <sz val="11"/>
        <color theme="1"/>
        <rFont val="Calibri"/>
        <family val="2"/>
        <scheme val="minor"/>
      </rPr>
      <t xml:space="preserve"> create table superhero(
</t>
    </r>
    <r>
      <rPr>
        <b/>
        <sz val="11"/>
        <color rgb="FFFF0000"/>
        <rFont val="Calibri"/>
        <family val="2"/>
        <scheme val="minor"/>
      </rPr>
      <t>id</t>
    </r>
    <r>
      <rPr>
        <sz val="11"/>
        <color theme="1"/>
        <rFont val="Calibri"/>
        <family val="2"/>
        <scheme val="minor"/>
      </rPr>
      <t xml:space="preserve"> </t>
    </r>
    <r>
      <rPr>
        <b/>
        <sz val="11"/>
        <color theme="3"/>
        <rFont val="Calibri"/>
        <family val="2"/>
        <scheme val="minor"/>
      </rPr>
      <t>int</t>
    </r>
    <r>
      <rPr>
        <sz val="11"/>
        <color theme="1"/>
        <rFont val="Calibri"/>
        <family val="2"/>
        <scheme val="minor"/>
      </rPr>
      <t xml:space="preserve"> </t>
    </r>
    <r>
      <rPr>
        <b/>
        <sz val="11"/>
        <color rgb="FFFFC000"/>
        <rFont val="Calibri"/>
        <family val="2"/>
        <scheme val="minor"/>
      </rPr>
      <t>not null</t>
    </r>
    <r>
      <rPr>
        <b/>
        <sz val="11"/>
        <color theme="6"/>
        <rFont val="Calibri"/>
        <family val="2"/>
        <scheme val="minor"/>
      </rPr>
      <t xml:space="preserve">, </t>
    </r>
    <r>
      <rPr>
        <sz val="11"/>
        <color theme="1"/>
        <rFont val="Calibri"/>
        <family val="2"/>
        <scheme val="minor"/>
      </rPr>
      <t xml:space="preserve">
</t>
    </r>
    <r>
      <rPr>
        <b/>
        <sz val="11"/>
        <color rgb="FFFF0000"/>
        <rFont val="Calibri"/>
        <family val="2"/>
        <scheme val="minor"/>
      </rPr>
      <t>person_name</t>
    </r>
    <r>
      <rPr>
        <sz val="11"/>
        <color theme="1"/>
        <rFont val="Calibri"/>
        <family val="2"/>
        <scheme val="minor"/>
      </rPr>
      <t xml:space="preserve"> </t>
    </r>
    <r>
      <rPr>
        <b/>
        <sz val="11"/>
        <color theme="3"/>
        <rFont val="Calibri"/>
        <family val="2"/>
        <scheme val="minor"/>
      </rPr>
      <t>char(40),</t>
    </r>
    <r>
      <rPr>
        <sz val="11"/>
        <color theme="1"/>
        <rFont val="Calibri"/>
        <family val="2"/>
        <scheme val="minor"/>
      </rPr>
      <t xml:space="preserve">
</t>
    </r>
    <r>
      <rPr>
        <b/>
        <sz val="11"/>
        <color rgb="FFFF0000"/>
        <rFont val="Calibri"/>
        <family val="2"/>
        <scheme val="minor"/>
      </rPr>
      <t>superhero_name</t>
    </r>
    <r>
      <rPr>
        <sz val="11"/>
        <color theme="1"/>
        <rFont val="Calibri"/>
        <family val="2"/>
        <scheme val="minor"/>
      </rPr>
      <t xml:space="preserve"> </t>
    </r>
    <r>
      <rPr>
        <b/>
        <sz val="11"/>
        <color theme="3"/>
        <rFont val="Calibri"/>
        <family val="2"/>
        <scheme val="minor"/>
      </rPr>
      <t>char(40),</t>
    </r>
    <r>
      <rPr>
        <sz val="11"/>
        <color theme="1"/>
        <rFont val="Calibri"/>
        <family val="2"/>
        <scheme val="minor"/>
      </rPr>
      <t xml:space="preserve">
</t>
    </r>
    <r>
      <rPr>
        <b/>
        <sz val="11"/>
        <color rgb="FFFF0000"/>
        <rFont val="Calibri"/>
        <family val="2"/>
        <scheme val="minor"/>
      </rPr>
      <t>age</t>
    </r>
    <r>
      <rPr>
        <sz val="11"/>
        <color theme="1"/>
        <rFont val="Calibri"/>
        <family val="2"/>
        <scheme val="minor"/>
      </rPr>
      <t xml:space="preserve"> </t>
    </r>
    <r>
      <rPr>
        <b/>
        <sz val="11"/>
        <color theme="3"/>
        <rFont val="Calibri"/>
        <family val="2"/>
        <scheme val="minor"/>
      </rPr>
      <t>int,</t>
    </r>
    <r>
      <rPr>
        <sz val="11"/>
        <color theme="1"/>
        <rFont val="Calibri"/>
        <family val="2"/>
        <scheme val="minor"/>
      </rPr>
      <t xml:space="preserve">
</t>
    </r>
    <r>
      <rPr>
        <b/>
        <sz val="11"/>
        <color rgb="FFFF0000"/>
        <rFont val="Calibri"/>
        <family val="2"/>
        <scheme val="minor"/>
      </rPr>
      <t>franchise</t>
    </r>
    <r>
      <rPr>
        <sz val="11"/>
        <color theme="1"/>
        <rFont val="Calibri"/>
        <family val="2"/>
        <scheme val="minor"/>
      </rPr>
      <t xml:space="preserve"> </t>
    </r>
    <r>
      <rPr>
        <b/>
        <sz val="11"/>
        <color theme="3"/>
        <rFont val="Calibri"/>
        <family val="2"/>
        <scheme val="minor"/>
      </rPr>
      <t>char(40)</t>
    </r>
    <r>
      <rPr>
        <sz val="11"/>
        <color theme="1"/>
        <rFont val="Calibri"/>
        <family val="2"/>
        <scheme val="minor"/>
      </rPr>
      <t xml:space="preserve"> )</t>
    </r>
  </si>
  <si>
    <r>
      <t xml:space="preserve">
alter table </t>
    </r>
    <r>
      <rPr>
        <b/>
        <sz val="11"/>
        <color theme="6" tint="-0.499984740745262"/>
        <rFont val="Calibri"/>
        <family val="2"/>
        <scheme val="minor"/>
      </rPr>
      <t>&lt;tableName&gt;</t>
    </r>
    <r>
      <rPr>
        <sz val="11"/>
        <color theme="1"/>
        <rFont val="Calibri"/>
        <family val="2"/>
        <scheme val="minor"/>
      </rPr>
      <t xml:space="preserve"> add(</t>
    </r>
    <r>
      <rPr>
        <b/>
        <sz val="11"/>
        <color rgb="FFFF0000"/>
        <rFont val="Calibri"/>
        <family val="2"/>
        <scheme val="minor"/>
      </rPr>
      <t>&lt;columnName&gt;</t>
    </r>
    <r>
      <rPr>
        <sz val="11"/>
        <color theme="1"/>
        <rFont val="Calibri"/>
        <family val="2"/>
        <scheme val="minor"/>
      </rPr>
      <t xml:space="preserve"> </t>
    </r>
    <r>
      <rPr>
        <b/>
        <sz val="11"/>
        <color theme="3"/>
        <rFont val="Calibri"/>
        <family val="2"/>
        <scheme val="minor"/>
      </rPr>
      <t>&lt;valueType&gt;</t>
    </r>
    <r>
      <rPr>
        <sz val="11"/>
        <color theme="1"/>
        <rFont val="Calibri"/>
        <family val="2"/>
        <scheme val="minor"/>
      </rPr>
      <t xml:space="preserve"> </t>
    </r>
    <r>
      <rPr>
        <b/>
        <sz val="11"/>
        <color rgb="FFFFC000"/>
        <rFont val="Calibri"/>
        <family val="2"/>
        <scheme val="minor"/>
      </rPr>
      <t>&lt;any special command&gt;</t>
    </r>
    <r>
      <rPr>
        <sz val="11"/>
        <color theme="1"/>
        <rFont val="Calibri"/>
        <family val="2"/>
        <scheme val="minor"/>
      </rPr>
      <t xml:space="preserve"> )
</t>
    </r>
    <r>
      <rPr>
        <b/>
        <sz val="11"/>
        <color theme="1"/>
        <rFont val="Calibri"/>
        <family val="2"/>
        <scheme val="minor"/>
      </rPr>
      <t>e.g.</t>
    </r>
    <r>
      <rPr>
        <sz val="11"/>
        <color theme="1"/>
        <rFont val="Calibri"/>
        <family val="2"/>
        <scheme val="minor"/>
      </rPr>
      <t xml:space="preserve"> 
alter table </t>
    </r>
    <r>
      <rPr>
        <b/>
        <sz val="11"/>
        <color theme="6" tint="-0.499984740745262"/>
        <rFont val="Calibri"/>
        <family val="2"/>
        <scheme val="minor"/>
      </rPr>
      <t>superhero</t>
    </r>
    <r>
      <rPr>
        <sz val="11"/>
        <color theme="1"/>
        <rFont val="Calibri"/>
        <family val="2"/>
        <scheme val="minor"/>
      </rPr>
      <t xml:space="preserve"> add(</t>
    </r>
    <r>
      <rPr>
        <b/>
        <sz val="11"/>
        <color rgb="FFFF0000"/>
        <rFont val="Calibri"/>
        <family val="2"/>
        <scheme val="minor"/>
      </rPr>
      <t xml:space="preserve">location </t>
    </r>
    <r>
      <rPr>
        <b/>
        <sz val="11"/>
        <color theme="3"/>
        <rFont val="Calibri"/>
        <family val="2"/>
        <scheme val="minor"/>
      </rPr>
      <t>varchar(30))</t>
    </r>
  </si>
  <si>
    <r>
      <t xml:space="preserve">
alter table </t>
    </r>
    <r>
      <rPr>
        <b/>
        <sz val="11"/>
        <color theme="8" tint="-0.249977111117893"/>
        <rFont val="Calibri"/>
        <family val="2"/>
        <scheme val="minor"/>
      </rPr>
      <t>&lt;tableName&gt;</t>
    </r>
    <r>
      <rPr>
        <sz val="11"/>
        <color theme="1"/>
        <rFont val="Calibri"/>
        <family val="2"/>
        <scheme val="minor"/>
      </rPr>
      <t xml:space="preserve"> add(</t>
    </r>
    <r>
      <rPr>
        <b/>
        <sz val="11"/>
        <color rgb="FFFF0000"/>
        <rFont val="Calibri"/>
        <family val="2"/>
        <scheme val="minor"/>
      </rPr>
      <t>&lt;columnName&gt;</t>
    </r>
    <r>
      <rPr>
        <sz val="11"/>
        <color theme="1"/>
        <rFont val="Calibri"/>
        <family val="2"/>
        <scheme val="minor"/>
      </rPr>
      <t xml:space="preserve"> </t>
    </r>
    <r>
      <rPr>
        <b/>
        <sz val="11"/>
        <color theme="3"/>
        <rFont val="Calibri"/>
        <family val="2"/>
        <scheme val="minor"/>
      </rPr>
      <t>&lt;valueType&gt;</t>
    </r>
    <r>
      <rPr>
        <sz val="11"/>
        <color theme="1"/>
        <rFont val="Calibri"/>
        <family val="2"/>
        <scheme val="minor"/>
      </rPr>
      <t xml:space="preserve"> </t>
    </r>
    <r>
      <rPr>
        <b/>
        <sz val="11"/>
        <color rgb="FFFFC000"/>
        <rFont val="Calibri"/>
        <family val="2"/>
        <scheme val="minor"/>
      </rPr>
      <t>&lt;any special command&gt;</t>
    </r>
    <r>
      <rPr>
        <sz val="11"/>
        <color theme="1"/>
        <rFont val="Calibri"/>
        <family val="2"/>
        <scheme val="minor"/>
      </rPr>
      <t xml:space="preserve"> )
</t>
    </r>
    <r>
      <rPr>
        <b/>
        <sz val="11"/>
        <color theme="1"/>
        <rFont val="Calibri"/>
        <family val="2"/>
        <scheme val="minor"/>
      </rPr>
      <t>e.g.</t>
    </r>
    <r>
      <rPr>
        <sz val="11"/>
        <color theme="1"/>
        <rFont val="Calibri"/>
        <family val="2"/>
        <scheme val="minor"/>
      </rPr>
      <t xml:space="preserve"> 
alter table </t>
    </r>
    <r>
      <rPr>
        <b/>
        <sz val="11"/>
        <color theme="8" tint="-0.249977111117893"/>
        <rFont val="Calibri"/>
        <family val="2"/>
        <scheme val="minor"/>
      </rPr>
      <t>superhero</t>
    </r>
    <r>
      <rPr>
        <sz val="11"/>
        <color theme="1"/>
        <rFont val="Calibri"/>
        <family val="2"/>
        <scheme val="minor"/>
      </rPr>
      <t xml:space="preserve"> add(</t>
    </r>
    <r>
      <rPr>
        <b/>
        <sz val="11"/>
        <color rgb="FFFF0000"/>
        <rFont val="Calibri"/>
        <family val="2"/>
        <scheme val="minor"/>
      </rPr>
      <t xml:space="preserve">location </t>
    </r>
    <r>
      <rPr>
        <b/>
        <sz val="11"/>
        <color theme="3"/>
        <rFont val="Calibri"/>
        <family val="2"/>
        <scheme val="minor"/>
      </rPr>
      <t>varchar(30))</t>
    </r>
  </si>
  <si>
    <r>
      <t xml:space="preserve">alter table </t>
    </r>
    <r>
      <rPr>
        <b/>
        <sz val="11"/>
        <color theme="8" tint="-0.249977111117893"/>
        <rFont val="Calibri"/>
        <family val="2"/>
        <scheme val="minor"/>
      </rPr>
      <t>&lt;tableName&gt;</t>
    </r>
    <r>
      <rPr>
        <sz val="11"/>
        <color theme="1"/>
        <rFont val="Calibri"/>
        <family val="2"/>
        <scheme val="minor"/>
      </rPr>
      <t xml:space="preserve"> change </t>
    </r>
    <r>
      <rPr>
        <b/>
        <sz val="11"/>
        <color theme="9" tint="-0.499984740745262"/>
        <rFont val="Calibri"/>
        <family val="2"/>
        <scheme val="minor"/>
      </rPr>
      <t>&lt;oldColumnName&gt;</t>
    </r>
    <r>
      <rPr>
        <sz val="11"/>
        <color theme="1"/>
        <rFont val="Calibri"/>
        <family val="2"/>
        <scheme val="minor"/>
      </rPr>
      <t xml:space="preserve"> </t>
    </r>
    <r>
      <rPr>
        <b/>
        <sz val="11"/>
        <color rgb="FFFF0000"/>
        <rFont val="Calibri"/>
        <family val="2"/>
        <scheme val="minor"/>
      </rPr>
      <t>&lt;newColumnName&gt;</t>
    </r>
    <r>
      <rPr>
        <sz val="11"/>
        <color theme="1"/>
        <rFont val="Calibri"/>
        <family val="2"/>
        <scheme val="minor"/>
      </rPr>
      <t xml:space="preserve"> </t>
    </r>
    <r>
      <rPr>
        <b/>
        <sz val="11"/>
        <color theme="3"/>
        <rFont val="Calibri"/>
        <family val="2"/>
        <scheme val="minor"/>
      </rPr>
      <t>&lt;valueType&gt;</t>
    </r>
    <r>
      <rPr>
        <sz val="11"/>
        <color theme="1"/>
        <rFont val="Calibri"/>
        <family val="2"/>
        <scheme val="minor"/>
      </rPr>
      <t xml:space="preserve"> </t>
    </r>
    <r>
      <rPr>
        <b/>
        <sz val="11"/>
        <color rgb="FFFFC000"/>
        <rFont val="Calibri"/>
        <family val="2"/>
        <scheme val="minor"/>
      </rPr>
      <t>&lt;any special command&gt;</t>
    </r>
    <r>
      <rPr>
        <sz val="11"/>
        <color theme="1"/>
        <rFont val="Calibri"/>
        <family val="2"/>
        <scheme val="minor"/>
      </rPr>
      <t xml:space="preserve">
</t>
    </r>
    <r>
      <rPr>
        <b/>
        <sz val="11"/>
        <color theme="1"/>
        <rFont val="Calibri"/>
        <family val="2"/>
        <scheme val="minor"/>
      </rPr>
      <t xml:space="preserve">e.g. </t>
    </r>
    <r>
      <rPr>
        <sz val="11"/>
        <color theme="1"/>
        <rFont val="Calibri"/>
        <family val="2"/>
        <scheme val="minor"/>
      </rPr>
      <t xml:space="preserve">
alter table </t>
    </r>
    <r>
      <rPr>
        <b/>
        <sz val="11"/>
        <color theme="8" tint="-0.249977111117893"/>
        <rFont val="Calibri"/>
        <family val="2"/>
        <scheme val="minor"/>
      </rPr>
      <t>superhero</t>
    </r>
    <r>
      <rPr>
        <sz val="11"/>
        <color theme="1"/>
        <rFont val="Calibri"/>
        <family val="2"/>
        <scheme val="minor"/>
      </rPr>
      <t xml:space="preserve"> change </t>
    </r>
    <r>
      <rPr>
        <b/>
        <sz val="11"/>
        <color theme="9" tint="-0.499984740745262"/>
        <rFont val="Calibri"/>
        <family val="2"/>
        <scheme val="minor"/>
      </rPr>
      <t>franchise</t>
    </r>
    <r>
      <rPr>
        <sz val="11"/>
        <color theme="1"/>
        <rFont val="Calibri"/>
        <family val="2"/>
        <scheme val="minor"/>
      </rPr>
      <t xml:space="preserve"> </t>
    </r>
    <r>
      <rPr>
        <b/>
        <sz val="11"/>
        <color rgb="FFFF0000"/>
        <rFont val="Calibri"/>
        <family val="2"/>
        <scheme val="minor"/>
      </rPr>
      <t>universe</t>
    </r>
    <r>
      <rPr>
        <sz val="11"/>
        <color theme="1"/>
        <rFont val="Calibri"/>
        <family val="2"/>
        <scheme val="minor"/>
      </rPr>
      <t xml:space="preserve"> </t>
    </r>
    <r>
      <rPr>
        <b/>
        <sz val="11"/>
        <color theme="3"/>
        <rFont val="Calibri"/>
        <family val="2"/>
        <scheme val="minor"/>
      </rPr>
      <t>char(40)</t>
    </r>
  </si>
  <si>
    <t>JOIN</t>
  </si>
  <si>
    <t>UNION</t>
  </si>
  <si>
    <t>JOIN combines data from many tables based on a matched condition between them</t>
  </si>
  <si>
    <t>SQL combines the result set of two or more SELECT statements.</t>
  </si>
  <si>
    <t>It combines data into new columns.</t>
  </si>
  <si>
    <t>It combines data into new rows</t>
  </si>
  <si>
    <t>The number of columns selected from each table may not be the same.</t>
  </si>
  <si>
    <t>The number of columns selected from each table should be the same.</t>
  </si>
  <si>
    <t>Datatypes of corresponding columns selected from each table can be different.</t>
  </si>
  <si>
    <t>The data types of corresponding columns selected from each table should be the same.</t>
  </si>
  <si>
    <t>It may not return distinct columns.</t>
  </si>
  <si>
    <t>It returns distinct rows.</t>
  </si>
  <si>
    <t>Difference between join and union</t>
  </si>
  <si>
    <t>How to create a cucumber project</t>
  </si>
  <si>
    <t xml:space="preserve">    cucumber-java</t>
  </si>
  <si>
    <t xml:space="preserve">    cucumber-testng</t>
  </si>
  <si>
    <t>Download the following maven dependencies for Cucumber.
Make sure that all the dependencies belong to the same version.</t>
  </si>
  <si>
    <t xml:space="preserve">    cucumber-core</t>
  </si>
  <si>
    <t>Install the Cucumber plugin from Eclipse Marketplace</t>
  </si>
  <si>
    <t>Convert the project to the Cucumber project</t>
  </si>
  <si>
    <t>Create features file</t>
  </si>
  <si>
    <t>1. Create a folder 'src/test/resources/ features'</t>
  </si>
  <si>
    <t>Create Steps Definitions file</t>
  </si>
  <si>
    <t xml:space="preserve">1. Go to Eclipse &gt; Help &gt; Eclipse Marketplace
</t>
  </si>
  <si>
    <t>2. Search the plugin 'Cucumber Eclipse Plugin'</t>
  </si>
  <si>
    <t>3. Install the plugin</t>
  </si>
  <si>
    <t>4. Restart the Eclipse</t>
  </si>
  <si>
    <t>1. Create a folder 'src/test/java/StepDefinitions'</t>
  </si>
  <si>
    <t>Create a runner file</t>
  </si>
  <si>
    <t>1. Create a folder 'src/test/java/Runners_BDD'</t>
  </si>
  <si>
    <t>2. Create a java class</t>
  </si>
  <si>
    <r>
      <t xml:space="preserve">3. Make it extend the </t>
    </r>
    <r>
      <rPr>
        <sz val="11"/>
        <color rgb="FFFF0000"/>
        <rFont val="Calibri"/>
        <family val="2"/>
        <scheme val="minor"/>
      </rPr>
      <t>'AbstractTestNGCucumberTests'</t>
    </r>
    <r>
      <rPr>
        <sz val="11"/>
        <color theme="1"/>
        <rFont val="Calibri"/>
        <family val="2"/>
        <scheme val="minor"/>
      </rPr>
      <t xml:space="preserve"> class</t>
    </r>
  </si>
  <si>
    <r>
      <t xml:space="preserve">4. Add the decorator:
</t>
    </r>
    <r>
      <rPr>
        <sz val="11"/>
        <color rgb="FFFF0000"/>
        <rFont val="Calibri"/>
        <family val="2"/>
        <scheme val="minor"/>
      </rPr>
      <t>@CucumberOptions</t>
    </r>
    <r>
      <rPr>
        <sz val="11"/>
        <color theme="1"/>
        <rFont val="Calibri"/>
        <family val="2"/>
        <scheme val="minor"/>
      </rPr>
      <t xml:space="preserve">(
  </t>
    </r>
    <r>
      <rPr>
        <sz val="11"/>
        <color rgb="FFFF0000"/>
        <rFont val="Calibri"/>
        <family val="2"/>
        <scheme val="minor"/>
      </rPr>
      <t>features</t>
    </r>
    <r>
      <rPr>
        <sz val="11"/>
        <color theme="1"/>
        <rFont val="Calibri"/>
        <family val="2"/>
        <scheme val="minor"/>
      </rPr>
      <t xml:space="preserve"> = {"src/test/resources/prac/mda/features"},
  </t>
    </r>
    <r>
      <rPr>
        <sz val="11"/>
        <color rgb="FFFF0000"/>
        <rFont val="Calibri"/>
        <family val="2"/>
        <scheme val="minor"/>
      </rPr>
      <t>glue</t>
    </r>
    <r>
      <rPr>
        <sz val="11"/>
        <color theme="1"/>
        <rFont val="Calibri"/>
        <family val="2"/>
        <scheme val="minor"/>
      </rPr>
      <t xml:space="preserve"> = {"prac/mda/stepDefinitions"}
)</t>
    </r>
  </si>
  <si>
    <t>How to create extent reports for cucumber</t>
  </si>
  <si>
    <t>Maven plugin</t>
  </si>
  <si>
    <t>&lt;dependency&gt;
   &lt;groupId&gt;tech.grasshopper&lt;/groupId&gt;
   &lt;artifactId&gt;extentreports-cucumber7-adapter&lt;/artifactId&gt;
   &lt;version&gt;1.1.0&lt;/version&gt;
   &lt;exclusions&gt;
    &lt;exclusion&gt;
     &lt;groupId&gt;io.cucumber&lt;/groupId&gt;
     &lt;artifactId&gt;cucumber-java&lt;/artifactId&gt;
    &lt;/exclusion&gt;
    &lt;exclusion&gt;
     &lt;groupId&gt;io.cucumber&lt;/groupId&gt;
     &lt;artifactId&gt;cucumber-core&lt;/artifactId&gt;
    &lt;/exclusion&gt;
   &lt;/exclusions&gt;</t>
  </si>
  <si>
    <t>Add the following attribute in the runner file decorator</t>
  </si>
  <si>
    <r>
      <t xml:space="preserve">Create </t>
    </r>
    <r>
      <rPr>
        <sz val="11"/>
        <color rgb="FFFF0000"/>
        <rFont val="Calibri"/>
        <family val="2"/>
        <scheme val="minor"/>
      </rPr>
      <t>'extent.properties'</t>
    </r>
    <r>
      <rPr>
        <sz val="11"/>
        <color theme="1"/>
        <rFont val="Calibri"/>
        <family val="2"/>
        <scheme val="minor"/>
      </rPr>
      <t xml:space="preserve"> file</t>
    </r>
  </si>
  <si>
    <t>Create cucumber reports</t>
  </si>
  <si>
    <r>
      <t xml:space="preserve">  </t>
    </r>
    <r>
      <rPr>
        <sz val="11"/>
        <color rgb="FFFF0000"/>
        <rFont val="Calibri"/>
        <family val="2"/>
        <scheme val="minor"/>
      </rPr>
      <t>plugin</t>
    </r>
    <r>
      <rPr>
        <sz val="11"/>
        <color theme="1"/>
        <rFont val="Calibri"/>
        <family val="2"/>
        <scheme val="minor"/>
      </rPr>
      <t xml:space="preserve"> = {
    "html:target/cucumber-html-report/cucumber.html",
    "json:target/cucumber-reports/cucumber.json",
    "junit:target/cucumber-reports/cucumber.xml" }</t>
    </r>
  </si>
  <si>
    <r>
      <t>extent.reporter.spark.start=true
extent.reporter.spark.out=&lt;</t>
    </r>
    <r>
      <rPr>
        <sz val="11"/>
        <color theme="3"/>
        <rFont val="Calibri"/>
        <family val="2"/>
        <scheme val="minor"/>
      </rPr>
      <t>folderPath</t>
    </r>
    <r>
      <rPr>
        <sz val="11"/>
        <color theme="1"/>
        <rFont val="Calibri"/>
        <family val="2"/>
        <scheme val="minor"/>
      </rPr>
      <t>/</t>
    </r>
    <r>
      <rPr>
        <sz val="11"/>
        <color rgb="FFFF0000"/>
        <rFont val="Calibri"/>
        <family val="2"/>
        <scheme val="minor"/>
      </rPr>
      <t>fileName</t>
    </r>
    <r>
      <rPr>
        <sz val="11"/>
        <color theme="1"/>
        <rFont val="Calibri"/>
        <family val="2"/>
        <scheme val="minor"/>
      </rPr>
      <t>&gt;
e.g.
extent.reporter.spark.out=</t>
    </r>
    <r>
      <rPr>
        <sz val="11"/>
        <color theme="3"/>
        <rFont val="Calibri"/>
        <family val="2"/>
        <scheme val="minor"/>
      </rPr>
      <t>target/cucumber-reports/advanced-reports/extentreports</t>
    </r>
    <r>
      <rPr>
        <sz val="11"/>
        <color theme="1"/>
        <rFont val="Calibri"/>
        <family val="2"/>
        <scheme val="minor"/>
      </rPr>
      <t>/</t>
    </r>
    <r>
      <rPr>
        <sz val="11"/>
        <color rgb="FFFF0000"/>
        <rFont val="Calibri"/>
        <family val="2"/>
        <scheme val="minor"/>
      </rPr>
      <t>extent.html</t>
    </r>
  </si>
  <si>
    <t>To modify the extenr reports</t>
  </si>
  <si>
    <t>1. Create an *.xml file</t>
  </si>
  <si>
    <t>2. Add the required styles in it</t>
  </si>
  <si>
    <t>Extent-config.xml file:
&lt;?xml version="1.0" encoding="UTF-8"?&gt;
&lt;extentreports&gt;
 &lt;configuration&gt;
  &lt;!-- report theme --&gt;
  &lt;!-- standard, dark --&gt;
  &lt;theme&gt;standard&lt;/theme&gt;
  &lt;!-- document encoding --&gt;
  &lt;!-- defaults to UTF-8 --&gt;
  &lt;encoding&gt;UTF-8&lt;/encoding&gt;
  &lt;!-- protocol for script and stylesheets --&gt;
  &lt;!-- defaults to https --&gt;
  &lt;protocol&gt;http&lt;/protocol&gt;
  &lt;!-- title of the document --&gt;
  &lt;documentTitle&gt;Extent&lt;/documentTitle&gt;
  &lt;!-- report name - displayed at top-nav --&gt;
  &lt;reportName&gt;MayureshPractice Cucumber Extent Report&lt;/reportName&gt;
  &lt;!-- location of charts in the test view --&gt;
  &lt;!-- top, bottom --&gt;
  &lt;testViewChartLocation&gt;bottom&lt;/testViewChartLocation&gt;
  &lt;!-- custom javascript --&gt;
  &lt;scripts&gt;
&lt;![CDATA[
$(document).ready(function() {
});
]]&gt;
  &lt;/scripts&gt;
  &lt;!-- custom styles --&gt;
  &lt;styles&gt;
&lt;![CDATA[
]]&gt;
  &lt;/styles&gt;
 &lt;/configuration&gt;
&lt;/extentreports&gt;</t>
  </si>
  <si>
    <t>Add the custom values in the features and steps</t>
  </si>
  <si>
    <t>Features</t>
  </si>
  <si>
    <t>Steps</t>
  </si>
  <si>
    <r>
      <t xml:space="preserve">@Then("user enters the </t>
    </r>
    <r>
      <rPr>
        <sz val="11"/>
        <color rgb="FF339966"/>
        <rFont val="Calibri"/>
        <family val="2"/>
        <scheme val="minor"/>
      </rPr>
      <t>{string</t>
    </r>
    <r>
      <rPr>
        <sz val="11"/>
        <color theme="1"/>
        <rFont val="Calibri"/>
        <family val="2"/>
        <scheme val="minor"/>
      </rPr>
      <t>} Username")</t>
    </r>
  </si>
  <si>
    <t>Parameterization with Scenario outline</t>
  </si>
  <si>
    <t>Syntax</t>
  </si>
  <si>
    <r>
      <rPr>
        <sz val="11"/>
        <color theme="9" tint="-0.249977111117893"/>
        <rFont val="Calibri"/>
        <family val="2"/>
        <scheme val="minor"/>
      </rPr>
      <t>Scanario Outline:</t>
    </r>
    <r>
      <rPr>
        <sz val="11"/>
        <color theme="1"/>
        <rFont val="Calibri"/>
        <family val="2"/>
        <scheme val="minor"/>
      </rPr>
      <t xml:space="preserve"> &lt;Description&gt;
Given: &lt;Precondition&gt;
When:&lt;Action&gt;
Then:&lt;Verification&gt;
</t>
    </r>
    <r>
      <rPr>
        <sz val="11"/>
        <color theme="9" tint="-0.249977111117893"/>
        <rFont val="Calibri"/>
        <family val="2"/>
        <scheme val="minor"/>
      </rPr>
      <t>Examples:</t>
    </r>
    <r>
      <rPr>
        <sz val="11"/>
        <color theme="1"/>
        <rFont val="Calibri"/>
        <family val="2"/>
        <scheme val="minor"/>
      </rPr>
      <t xml:space="preserve">
|&lt;Column1&gt;|&lt;Column2&gt;|
|&lt;value1&gt;    | &lt;value2&gt;    |
e.g.</t>
    </r>
  </si>
  <si>
    <r>
      <rPr>
        <sz val="11"/>
        <color theme="9" tint="-0.249977111117893"/>
        <rFont val="Calibri"/>
        <family val="2"/>
        <scheme val="minor"/>
      </rPr>
      <t>Scenario Outline:</t>
    </r>
    <r>
      <rPr>
        <sz val="11"/>
        <color theme="1"/>
        <rFont val="Calibri"/>
        <family val="2"/>
        <scheme val="minor"/>
      </rPr>
      <t xml:space="preserve"> In order to verify the login to Naukri as given user
 Then user opens the Login popup
 And user enters the </t>
    </r>
    <r>
      <rPr>
        <sz val="11"/>
        <color rgb="FFFF0000"/>
        <rFont val="Calibri"/>
        <family val="2"/>
        <scheme val="minor"/>
      </rPr>
      <t>"&lt;userName&gt;"</t>
    </r>
    <r>
      <rPr>
        <sz val="11"/>
        <color theme="1"/>
        <rFont val="Calibri"/>
        <family val="2"/>
        <scheme val="minor"/>
      </rPr>
      <t xml:space="preserve"> Username
 And user enters the </t>
    </r>
    <r>
      <rPr>
        <sz val="11"/>
        <color rgb="FF0070C0"/>
        <rFont val="Calibri"/>
        <family val="2"/>
        <scheme val="minor"/>
      </rPr>
      <t>"&lt;password&gt;"</t>
    </r>
    <r>
      <rPr>
        <sz val="11"/>
        <color theme="1"/>
        <rFont val="Calibri"/>
        <family val="2"/>
        <scheme val="minor"/>
      </rPr>
      <t xml:space="preserve"> Password
 Then user </t>
    </r>
    <r>
      <rPr>
        <sz val="11"/>
        <color rgb="FF7030A0"/>
        <rFont val="Calibri"/>
        <family val="2"/>
        <scheme val="minor"/>
      </rPr>
      <t>"&lt;action&gt;"</t>
    </r>
    <r>
      <rPr>
        <sz val="11"/>
        <color theme="1"/>
        <rFont val="Calibri"/>
        <family val="2"/>
        <scheme val="minor"/>
      </rPr>
      <t xml:space="preserve"> successfully logged in
</t>
    </r>
    <r>
      <rPr>
        <sz val="11"/>
        <color theme="9" tint="-0.249977111117893"/>
        <rFont val="Calibri"/>
        <family val="2"/>
        <scheme val="minor"/>
      </rPr>
      <t>Examples:</t>
    </r>
    <r>
      <rPr>
        <sz val="11"/>
        <color theme="1"/>
        <rFont val="Calibri"/>
        <family val="2"/>
        <scheme val="minor"/>
      </rPr>
      <t xml:space="preserve">
|</t>
    </r>
    <r>
      <rPr>
        <sz val="11"/>
        <color rgb="FFFF0000"/>
        <rFont val="Calibri"/>
        <family val="2"/>
        <scheme val="minor"/>
      </rPr>
      <t xml:space="preserve">userName  </t>
    </r>
    <r>
      <rPr>
        <sz val="11"/>
        <color theme="1"/>
        <rFont val="Calibri"/>
        <family val="2"/>
        <scheme val="minor"/>
      </rPr>
      <t xml:space="preserve">        </t>
    </r>
    <r>
      <rPr>
        <sz val="11"/>
        <color rgb="FF0070C0"/>
        <rFont val="Calibri"/>
        <family val="2"/>
        <scheme val="minor"/>
      </rPr>
      <t xml:space="preserve">|password </t>
    </r>
    <r>
      <rPr>
        <sz val="11"/>
        <color theme="1"/>
        <rFont val="Calibri"/>
        <family val="2"/>
        <scheme val="minor"/>
      </rPr>
      <t xml:space="preserve"> |</t>
    </r>
    <r>
      <rPr>
        <sz val="11"/>
        <color rgb="FF7030A0"/>
        <rFont val="Calibri"/>
        <family val="2"/>
        <scheme val="minor"/>
      </rPr>
      <t xml:space="preserve">action </t>
    </r>
    <r>
      <rPr>
        <sz val="11"/>
        <color theme="1"/>
        <rFont val="Calibri"/>
        <family val="2"/>
        <scheme val="minor"/>
      </rPr>
      <t xml:space="preserve">  |
|</t>
    </r>
    <r>
      <rPr>
        <sz val="11"/>
        <color rgb="FFFF0000"/>
        <rFont val="Calibri"/>
        <family val="2"/>
        <scheme val="minor"/>
      </rPr>
      <t>mayuresh.ahirrao@gmail.com</t>
    </r>
    <r>
      <rPr>
        <sz val="11"/>
        <color theme="1"/>
        <rFont val="Calibri"/>
        <family val="2"/>
        <scheme val="minor"/>
      </rPr>
      <t xml:space="preserve"> </t>
    </r>
    <r>
      <rPr>
        <sz val="11"/>
        <color rgb="FF0070C0"/>
        <rFont val="Calibri"/>
        <family val="2"/>
        <scheme val="minor"/>
      </rPr>
      <t>|Mayur31885</t>
    </r>
    <r>
      <rPr>
        <sz val="11"/>
        <color theme="1"/>
        <rFont val="Calibri"/>
        <family val="2"/>
        <scheme val="minor"/>
      </rPr>
      <t xml:space="preserve"> |</t>
    </r>
    <r>
      <rPr>
        <sz val="11"/>
        <color rgb="FF7030A0"/>
        <rFont val="Calibri"/>
        <family val="2"/>
        <scheme val="minor"/>
      </rPr>
      <t xml:space="preserve">shouldBe </t>
    </r>
    <r>
      <rPr>
        <sz val="11"/>
        <color theme="1"/>
        <rFont val="Calibri"/>
        <family val="2"/>
        <scheme val="minor"/>
      </rPr>
      <t xml:space="preserve"> |
|</t>
    </r>
    <r>
      <rPr>
        <sz val="11"/>
        <color rgb="FFFF0000"/>
        <rFont val="Calibri"/>
        <family val="2"/>
        <scheme val="minor"/>
      </rPr>
      <t xml:space="preserve">invalid </t>
    </r>
    <r>
      <rPr>
        <sz val="11"/>
        <color theme="1"/>
        <rFont val="Calibri"/>
        <family val="2"/>
        <scheme val="minor"/>
      </rPr>
      <t xml:space="preserve">         </t>
    </r>
    <r>
      <rPr>
        <sz val="11"/>
        <color rgb="FF0070C0"/>
        <rFont val="Calibri"/>
        <family val="2"/>
        <scheme val="minor"/>
      </rPr>
      <t>|invalid</t>
    </r>
    <r>
      <rPr>
        <sz val="11"/>
        <color theme="1"/>
        <rFont val="Calibri"/>
        <family val="2"/>
        <scheme val="minor"/>
      </rPr>
      <t xml:space="preserve">  |</t>
    </r>
    <r>
      <rPr>
        <sz val="11"/>
        <color rgb="FF7030A0"/>
        <rFont val="Calibri"/>
        <family val="2"/>
        <scheme val="minor"/>
      </rPr>
      <t>shouldNotBe</t>
    </r>
    <r>
      <rPr>
        <sz val="11"/>
        <color theme="1"/>
        <rFont val="Calibri"/>
        <family val="2"/>
        <scheme val="minor"/>
      </rPr>
      <t>|</t>
    </r>
  </si>
  <si>
    <t>Background keyword</t>
  </si>
  <si>
    <t>To apply the same pre-condition to multiple scenarios in a feature</t>
  </si>
  <si>
    <t>Cucumber Tags</t>
  </si>
  <si>
    <t>Used for selecting which features to be executed at a specific interval</t>
  </si>
  <si>
    <t>In features file</t>
  </si>
  <si>
    <t>In the Runner file (Glue file)</t>
  </si>
  <si>
    <r>
      <rPr>
        <sz val="11"/>
        <color rgb="FFFF0000"/>
        <rFont val="Calibri"/>
        <family val="2"/>
        <scheme val="minor"/>
      </rPr>
      <t>@&lt;tag&gt;</t>
    </r>
    <r>
      <rPr>
        <sz val="11"/>
        <color theme="1"/>
        <rFont val="Calibri"/>
        <family val="2"/>
        <scheme val="minor"/>
      </rPr>
      <t xml:space="preserve">
Feature: &lt;feature description&gt;</t>
    </r>
  </si>
  <si>
    <r>
      <t xml:space="preserve">e.g.
</t>
    </r>
    <r>
      <rPr>
        <sz val="11"/>
        <color rgb="FFFF0000"/>
        <rFont val="Calibri"/>
        <family val="2"/>
        <scheme val="minor"/>
      </rPr>
      <t xml:space="preserve">@smoke
</t>
    </r>
    <r>
      <rPr>
        <sz val="11"/>
        <color theme="1"/>
        <rFont val="Calibri"/>
        <family val="2"/>
        <scheme val="minor"/>
      </rPr>
      <t>Feature: Login</t>
    </r>
  </si>
  <si>
    <r>
      <t>tags = "</t>
    </r>
    <r>
      <rPr>
        <sz val="11"/>
        <color rgb="FFFF0000"/>
        <rFont val="Calibri"/>
        <family val="2"/>
        <scheme val="minor"/>
      </rPr>
      <t>&lt;tag1&gt;</t>
    </r>
    <r>
      <rPr>
        <sz val="11"/>
        <color theme="1"/>
        <rFont val="Calibri"/>
        <family val="2"/>
        <scheme val="minor"/>
      </rPr>
      <t xml:space="preserve"> or </t>
    </r>
    <r>
      <rPr>
        <sz val="11"/>
        <color rgb="FFFF0000"/>
        <rFont val="Calibri"/>
        <family val="2"/>
        <scheme val="minor"/>
      </rPr>
      <t>&lt;tag2&gt;</t>
    </r>
    <r>
      <rPr>
        <sz val="11"/>
        <color theme="1"/>
        <rFont val="Calibri"/>
        <family val="2"/>
        <scheme val="minor"/>
      </rPr>
      <t>",</t>
    </r>
  </si>
  <si>
    <r>
      <t>e.g.
tags = "</t>
    </r>
    <r>
      <rPr>
        <sz val="11"/>
        <color rgb="FFFF0000"/>
        <rFont val="Calibri"/>
        <family val="2"/>
        <scheme val="minor"/>
      </rPr>
      <t>@smoke</t>
    </r>
    <r>
      <rPr>
        <sz val="11"/>
        <color theme="1"/>
        <rFont val="Calibri"/>
        <family val="2"/>
        <scheme val="minor"/>
      </rPr>
      <t xml:space="preserve">", or </t>
    </r>
    <r>
      <rPr>
        <sz val="11"/>
        <color rgb="FFFF0000"/>
        <rFont val="Calibri"/>
        <family val="2"/>
        <scheme val="minor"/>
      </rPr>
      <t>@sanity</t>
    </r>
    <r>
      <rPr>
        <sz val="11"/>
        <color theme="1"/>
        <rFont val="Calibri"/>
        <family val="2"/>
        <scheme val="minor"/>
      </rPr>
      <t xml:space="preserve"> or </t>
    </r>
    <r>
      <rPr>
        <sz val="11"/>
        <color rgb="FFFF0000"/>
        <rFont val="Calibri"/>
        <family val="2"/>
        <scheme val="minor"/>
      </rPr>
      <t>@regression</t>
    </r>
    <r>
      <rPr>
        <sz val="11"/>
        <color theme="1"/>
        <rFont val="Calibri"/>
        <family val="2"/>
        <scheme val="minor"/>
      </rPr>
      <t>",</t>
    </r>
  </si>
  <si>
    <t>Cucumber Hooks</t>
  </si>
  <si>
    <t>To select the methods which execute every time before or after a method, or class</t>
  </si>
  <si>
    <t>Create a separate class for the hooks</t>
  </si>
  <si>
    <t>Add the following annotations to the methods in the class</t>
  </si>
  <si>
    <t>Put the hooks file in the same package as the step definitions</t>
  </si>
  <si>
    <t xml:space="preserve">@BeforeAll </t>
  </si>
  <si>
    <t>@Before</t>
  </si>
  <si>
    <t xml:space="preserve"> To execute before any scenario</t>
  </si>
  <si>
    <r>
      <rPr>
        <sz val="11"/>
        <color rgb="FFFF0000"/>
        <rFont val="Calibri"/>
        <family val="2"/>
        <scheme val="minor"/>
      </rPr>
      <t>@Before</t>
    </r>
    <r>
      <rPr>
        <sz val="11"/>
        <color theme="1"/>
        <rFont val="Calibri"/>
        <family val="2"/>
        <scheme val="minor"/>
      </rPr>
      <t>(</t>
    </r>
    <r>
      <rPr>
        <sz val="11"/>
        <color rgb="FF339966"/>
        <rFont val="Calibri"/>
        <family val="2"/>
        <scheme val="minor"/>
      </rPr>
      <t>&lt;tagName&gt;</t>
    </r>
    <r>
      <rPr>
        <sz val="11"/>
        <color theme="1"/>
        <rFont val="Calibri"/>
        <family val="2"/>
        <scheme val="minor"/>
      </rPr>
      <t>)</t>
    </r>
    <r>
      <rPr>
        <sz val="11"/>
        <color rgb="FF339966"/>
        <rFont val="Calibri"/>
        <family val="2"/>
        <scheme val="minor"/>
      </rPr>
      <t/>
    </r>
  </si>
  <si>
    <t>Before the mentioned tag name</t>
  </si>
  <si>
    <t>@BeforeStep</t>
  </si>
  <si>
    <t>To execute before every step</t>
  </si>
  <si>
    <t>To execute multiple 'Before' hooks in sequence</t>
  </si>
  <si>
    <t>0 is the highest priority</t>
  </si>
  <si>
    <t>@AfterAll</t>
  </si>
  <si>
    <t>To execute after all the scenario are executed</t>
  </si>
  <si>
    <t>@After</t>
  </si>
  <si>
    <t>After every scenario</t>
  </si>
  <si>
    <r>
      <rPr>
        <sz val="11"/>
        <color rgb="FFFF0000"/>
        <rFont val="Calibri"/>
        <family val="2"/>
        <scheme val="minor"/>
      </rPr>
      <t>@After</t>
    </r>
    <r>
      <rPr>
        <sz val="11"/>
        <color theme="1"/>
        <rFont val="Calibri"/>
        <family val="2"/>
        <scheme val="minor"/>
      </rPr>
      <t>(</t>
    </r>
    <r>
      <rPr>
        <sz val="11"/>
        <color rgb="FF339966"/>
        <rFont val="Calibri"/>
        <family val="2"/>
        <scheme val="minor"/>
      </rPr>
      <t>&lt;tagName&gt;</t>
    </r>
    <r>
      <rPr>
        <sz val="11"/>
        <color theme="1"/>
        <rFont val="Calibri"/>
        <family val="2"/>
        <scheme val="minor"/>
      </rPr>
      <t>)</t>
    </r>
    <r>
      <rPr>
        <sz val="11"/>
        <color rgb="FF339966"/>
        <rFont val="Calibri"/>
        <family val="2"/>
        <scheme val="minor"/>
      </rPr>
      <t/>
    </r>
  </si>
  <si>
    <t>After the mentioned tag name</t>
  </si>
  <si>
    <t>@AfterStep</t>
  </si>
  <si>
    <t>To execute after every step</t>
  </si>
  <si>
    <t>To execute multiple 'After' hooks in sequence</t>
  </si>
  <si>
    <r>
      <t>@Before(</t>
    </r>
    <r>
      <rPr>
        <sz val="11"/>
        <color rgb="FF339966"/>
        <rFont val="Calibri"/>
        <family val="2"/>
        <scheme val="minor"/>
      </rPr>
      <t>order = 0&lt;=N</t>
    </r>
    <r>
      <rPr>
        <sz val="11"/>
        <color rgb="FFFF0000"/>
        <rFont val="Calibri"/>
        <family val="2"/>
        <scheme val="minor"/>
      </rPr>
      <t>)</t>
    </r>
  </si>
  <si>
    <r>
      <t>@After(</t>
    </r>
    <r>
      <rPr>
        <sz val="11"/>
        <color rgb="FF339966"/>
        <rFont val="Calibri"/>
        <family val="2"/>
        <scheme val="minor"/>
      </rPr>
      <t>order = 0&lt;=N</t>
    </r>
    <r>
      <rPr>
        <sz val="11"/>
        <color rgb="FFFF0000"/>
        <rFont val="Calibri"/>
        <family val="2"/>
        <scheme val="minor"/>
      </rPr>
      <t>)</t>
    </r>
  </si>
  <si>
    <t>0 is the lowest priority (Opposite of the 'Before' hook)</t>
  </si>
  <si>
    <t>Datatable</t>
  </si>
  <si>
    <t>Collection of multiple data rows, which can be read as either as list or as map</t>
  </si>
  <si>
    <t>As list</t>
  </si>
  <si>
    <t>Single column</t>
  </si>
  <si>
    <t>Multiple columns</t>
  </si>
  <si>
    <t xml:space="preserve">import io.cucumber.datatable.DataTable; </t>
  </si>
  <si>
    <t>Features file</t>
  </si>
  <si>
    <t>And user enters skills
      | Skills   |
      | Java     |
      | Selenium |</t>
  </si>
  <si>
    <t>Step Definition file</t>
  </si>
  <si>
    <t>@Then("user enters skills")
 public void user_enters_skills(List&lt;String&gt; list)
 {
}</t>
  </si>
  <si>
    <t>And user enters experience and location
      | Experience     | Location  |
      | below 10 years | Bengaluru |
      | above 10 years | Pune      |</t>
  </si>
  <si>
    <t>As map</t>
  </si>
  <si>
    <t>@Then("user enters experience and location")
 public void user_enters_experience_and_location(DataTable dataTable) 
{
    List&lt;Map&lt;String,String&gt;&gt; dataMap = dataTable.asMaps();
}</t>
  </si>
  <si>
    <r>
      <rPr>
        <sz val="11"/>
        <color rgb="FFFF0000"/>
        <rFont val="Calibri"/>
        <family val="2"/>
        <scheme val="minor"/>
      </rPr>
      <t>Features file:</t>
    </r>
    <r>
      <rPr>
        <sz val="11"/>
        <color theme="1"/>
        <rFont val="Calibri"/>
        <family val="2"/>
        <scheme val="minor"/>
      </rPr>
      <t xml:space="preserve">  The list will treat all the rows as data, including the first row</t>
    </r>
  </si>
  <si>
    <r>
      <rPr>
        <sz val="11"/>
        <color rgb="FFFF0000"/>
        <rFont val="Calibri"/>
        <family val="2"/>
        <scheme val="minor"/>
      </rPr>
      <t>Features file:</t>
    </r>
    <r>
      <rPr>
        <sz val="11"/>
        <color theme="1"/>
        <rFont val="Calibri"/>
        <family val="2"/>
        <scheme val="minor"/>
      </rPr>
      <t xml:space="preserve">  The map will treat the first row as Header, and the subsequent rows as data. The value in the Header column will serve as the key for the corresponding value in the Data columns </t>
    </r>
  </si>
  <si>
    <t>Map representation: 
[
    {
        Experience: below 10 years,
        Location: Bengaluru
    },
    {
       Experience: above 10 years,
       Location: Pune
    }
]</t>
  </si>
  <si>
    <t xml:space="preserve">List Representation:
{
    {
       Experience, Location
    },
    {
       below 10 years, Bengaluru
    },
    {
        above 10 years, Pune
    }
}    
       </t>
  </si>
  <si>
    <t>Idempotent methods</t>
  </si>
  <si>
    <t>Methods that generate the same output when executed multiple times
e. g. get</t>
  </si>
  <si>
    <t>Plugins required to configure jenkins</t>
  </si>
  <si>
    <t>Maven Integration Plugin</t>
  </si>
  <si>
    <t>HTML Publisher plugin</t>
  </si>
  <si>
    <t>Cucumber Reports plugin</t>
  </si>
  <si>
    <r>
      <t xml:space="preserve">After installing the above plugins, restart the jenkins with this additional flag:
</t>
    </r>
    <r>
      <rPr>
        <i/>
        <sz val="11"/>
        <color theme="1"/>
        <rFont val="Calibri"/>
        <family val="2"/>
        <scheme val="minor"/>
      </rPr>
      <t>java -Dhudson.model.DirectoryBrowserSupport.CSP="" -jar jenkins.war</t>
    </r>
  </si>
  <si>
    <t>The above flag displays the html output of the above reports</t>
  </si>
  <si>
    <t>Set a java project to run with jenkins</t>
  </si>
  <si>
    <t>1. Create a new project in jenkins as 'Maven project'</t>
  </si>
  <si>
    <t>2. Add root pom.xml file to 'Build &gt; Root POM'</t>
  </si>
  <si>
    <r>
      <t xml:space="preserve">3. Enter the maven commands in the goals. E.g. for mvn clean, mention 'clean'
Complete maven goals example:
On command line:
</t>
    </r>
    <r>
      <rPr>
        <b/>
        <sz val="11"/>
        <color rgb="FFFF0000"/>
        <rFont val="Calibri"/>
        <family val="2"/>
        <scheme val="minor"/>
      </rPr>
      <t>mvn clean
mvn test</t>
    </r>
    <r>
      <rPr>
        <sz val="11"/>
        <color theme="1"/>
        <rFont val="Calibri"/>
        <family val="2"/>
        <scheme val="minor"/>
      </rPr>
      <t xml:space="preserve">
in Jenkins: </t>
    </r>
    <r>
      <rPr>
        <b/>
        <sz val="11"/>
        <color rgb="FFFF0000"/>
        <rFont val="Calibri"/>
        <family val="2"/>
        <scheme val="minor"/>
      </rPr>
      <t>clean test</t>
    </r>
  </si>
  <si>
    <r>
      <t>4. Pass the command as '</t>
    </r>
    <r>
      <rPr>
        <b/>
        <i/>
        <sz val="11"/>
        <color rgb="FFFF0000"/>
        <rFont val="Calibri"/>
        <family val="2"/>
        <scheme val="minor"/>
      </rPr>
      <t>clean install</t>
    </r>
    <r>
      <rPr>
        <sz val="11"/>
        <color theme="1"/>
        <rFont val="Calibri"/>
        <family val="2"/>
        <scheme val="minor"/>
      </rPr>
      <t>' to generate the reports</t>
    </r>
  </si>
  <si>
    <t>To generate HTML Reports</t>
  </si>
  <si>
    <r>
      <t xml:space="preserve">5. Go to </t>
    </r>
    <r>
      <rPr>
        <sz val="11"/>
        <color rgb="FFFF0000"/>
        <rFont val="Calibri"/>
        <family val="2"/>
        <scheme val="minor"/>
      </rPr>
      <t>Post-build Actions</t>
    </r>
    <r>
      <rPr>
        <sz val="11"/>
        <color theme="1"/>
        <rFont val="Calibri"/>
        <family val="2"/>
        <scheme val="minor"/>
      </rPr>
      <t xml:space="preserve"> &gt; </t>
    </r>
    <r>
      <rPr>
        <sz val="11"/>
        <color rgb="FFFF0000"/>
        <rFont val="Calibri"/>
        <family val="2"/>
        <scheme val="minor"/>
      </rPr>
      <t>Add Post-Build Action</t>
    </r>
    <r>
      <rPr>
        <sz val="11"/>
        <color theme="1"/>
        <rFont val="Calibri"/>
        <family val="2"/>
        <scheme val="minor"/>
      </rPr>
      <t xml:space="preserve"> &gt; </t>
    </r>
    <r>
      <rPr>
        <sz val="11"/>
        <color rgb="FFFF0000"/>
        <rFont val="Calibri"/>
        <family val="2"/>
        <scheme val="minor"/>
      </rPr>
      <t>Publish HTML Report</t>
    </r>
    <r>
      <rPr>
        <sz val="11"/>
        <color theme="1"/>
        <rFont val="Calibri"/>
        <family val="2"/>
        <scheme val="minor"/>
      </rPr>
      <t xml:space="preserve">  </t>
    </r>
  </si>
  <si>
    <t>Git not authorised error in Eclipse</t>
  </si>
  <si>
    <t>Go to github &gt; Settings &gt; Developer Settings &gt; Personal Access Tokens</t>
  </si>
  <si>
    <t>Generate a new access token (classic)</t>
  </si>
  <si>
    <t>Copy the token from github</t>
  </si>
  <si>
    <t>Use the token as password when commiting the change</t>
  </si>
  <si>
    <t>To add global config to the commits</t>
  </si>
  <si>
    <t>git config --global</t>
  </si>
  <si>
    <t>git config --global user.name &lt;git userName&gt;</t>
  </si>
  <si>
    <t>git config --global user.email &lt;git userEmail&gt;</t>
  </si>
  <si>
    <t>Change the default branch name</t>
  </si>
  <si>
    <t>git config --global init.default &lt;branchName&gt;</t>
  </si>
  <si>
    <t>How to make .gitignore file to work</t>
  </si>
  <si>
    <t>Save the file by adding double quotes to it</t>
  </si>
  <si>
    <t>git switch &lt;branchName&gt;</t>
  </si>
  <si>
    <t>Delete a branch</t>
  </si>
  <si>
    <t>Merge a branch in another branch</t>
  </si>
  <si>
    <t>git switch &lt;branchInWhichAnotherBranchIsMerged&gt;
git merge &lt;branchToBeMerged&gt;</t>
  </si>
  <si>
    <t>git remote add origin &lt;repositoryURL&gt;</t>
  </si>
  <si>
    <t>Add code to your remote repository</t>
  </si>
  <si>
    <t>Create the local branch on remote</t>
  </si>
  <si>
    <t>git branch -M &lt;branchName&gt;</t>
  </si>
  <si>
    <t>git push -u origin &lt;branchName&gt;</t>
  </si>
  <si>
    <r>
      <t>3. Add the file path in the 'extent.properties' file
extent.reporter.spark.config=&lt;</t>
    </r>
    <r>
      <rPr>
        <sz val="11"/>
        <color theme="3"/>
        <rFont val="Calibri"/>
        <family val="2"/>
        <scheme val="minor"/>
      </rPr>
      <t>folderPath</t>
    </r>
    <r>
      <rPr>
        <sz val="11"/>
        <color theme="1"/>
        <rFont val="Calibri"/>
        <family val="2"/>
        <scheme val="minor"/>
      </rPr>
      <t>/</t>
    </r>
    <r>
      <rPr>
        <sz val="11"/>
        <color rgb="FFFF0000"/>
        <rFont val="Calibri"/>
        <family val="2"/>
        <scheme val="minor"/>
      </rPr>
      <t>fileName</t>
    </r>
    <r>
      <rPr>
        <sz val="11"/>
        <color theme="1"/>
        <rFont val="Calibri"/>
        <family val="2"/>
        <scheme val="minor"/>
      </rPr>
      <t>&gt;
e.g.
extent.reporter.spark.config
        =</t>
    </r>
    <r>
      <rPr>
        <sz val="11"/>
        <color theme="3"/>
        <rFont val="Calibri"/>
        <family val="2"/>
        <scheme val="minor"/>
      </rPr>
      <t>src/test/resources/prac/mda/utilities</t>
    </r>
    <r>
      <rPr>
        <sz val="11"/>
        <color theme="1"/>
        <rFont val="Calibri"/>
        <family val="2"/>
        <scheme val="minor"/>
      </rPr>
      <t>/</t>
    </r>
    <r>
      <rPr>
        <sz val="11"/>
        <color rgb="FFFF0000"/>
        <rFont val="Calibri"/>
        <family val="2"/>
        <scheme val="minor"/>
      </rPr>
      <t>extent-config.xml</t>
    </r>
  </si>
  <si>
    <t>@Then("user enters experience and location")
 public void user_enters_experience_and_location(DataTable dataTable) 
{
    List&lt;List&lt;String&gt;&gt; data = dataTable.asLists();
}</t>
  </si>
  <si>
    <r>
      <rPr>
        <b/>
        <sz val="11"/>
        <color theme="1"/>
        <rFont val="Calibri"/>
        <family val="2"/>
        <scheme val="minor"/>
      </rPr>
      <t>Syntax:</t>
    </r>
    <r>
      <rPr>
        <sz val="11"/>
        <color theme="1"/>
        <rFont val="Calibri"/>
        <family val="2"/>
        <scheme val="minor"/>
      </rPr>
      <t xml:space="preserve">
</t>
    </r>
    <r>
      <rPr>
        <b/>
        <sz val="11"/>
        <color rgb="FFFF0000"/>
        <rFont val="Calibri"/>
        <family val="2"/>
        <scheme val="minor"/>
      </rPr>
      <t>((JavascriptExecutor)driver)</t>
    </r>
    <r>
      <rPr>
        <sz val="11"/>
        <color theme="1"/>
        <rFont val="Calibri"/>
        <family val="2"/>
        <scheme val="minor"/>
      </rPr>
      <t xml:space="preserve">.executeScript
</t>
    </r>
    <r>
      <rPr>
        <b/>
        <i/>
        <sz val="11"/>
        <color theme="6" tint="-0.249977111117893"/>
        <rFont val="Calibri"/>
        <family val="2"/>
        <scheme val="minor"/>
      </rPr>
      <t>("document.getElementById('Some Id').value='Selenium'");</t>
    </r>
  </si>
  <si>
    <r>
      <rPr>
        <b/>
        <sz val="11"/>
        <color rgb="FFFF0000"/>
        <rFont val="Calibri"/>
        <family val="2"/>
        <scheme val="minor"/>
      </rPr>
      <t>((JavascriptExecutor)driver)</t>
    </r>
    <r>
      <rPr>
        <sz val="11"/>
        <color theme="1"/>
        <rFont val="Calibri"/>
        <family val="2"/>
        <scheme val="minor"/>
      </rPr>
      <t xml:space="preserve">.executeScript
</t>
    </r>
    <r>
      <rPr>
        <b/>
        <i/>
        <sz val="11"/>
        <color theme="6" tint="-0.249977111117893"/>
        <rFont val="Calibri"/>
        <family val="2"/>
        <scheme val="minor"/>
      </rPr>
      <t>("document.getElementById('Some Id').click();</t>
    </r>
  </si>
  <si>
    <r>
      <rPr>
        <b/>
        <sz val="11"/>
        <color rgb="FFFF0000"/>
        <rFont val="Calibri"/>
        <family val="2"/>
        <scheme val="minor"/>
      </rPr>
      <t>((JavascriptExecutor)driver)</t>
    </r>
    <r>
      <rPr>
        <sz val="11"/>
        <color theme="1"/>
        <rFont val="Calibri"/>
        <family val="2"/>
        <scheme val="minor"/>
      </rPr>
      <t xml:space="preserve">.executeScript
</t>
    </r>
    <r>
      <rPr>
        <b/>
        <i/>
        <sz val="11"/>
        <color theme="6" tint="-0.249977111117893"/>
        <rFont val="Calibri"/>
        <family val="2"/>
        <scheme val="minor"/>
      </rPr>
      <t>("document.getElementById('Some Id').checked=false");</t>
    </r>
  </si>
  <si>
    <r>
      <t xml:space="preserve">
</t>
    </r>
    <r>
      <rPr>
        <b/>
        <sz val="11"/>
        <color rgb="FFFF0000"/>
        <rFont val="Calibri"/>
        <family val="2"/>
        <scheme val="minor"/>
      </rPr>
      <t>act.</t>
    </r>
    <r>
      <rPr>
        <sz val="11"/>
        <color theme="1"/>
        <rFont val="Calibri"/>
        <family val="2"/>
        <scheme val="minor"/>
      </rPr>
      <t>contextClick(MainMenu).build().perform();</t>
    </r>
  </si>
  <si>
    <r>
      <t xml:space="preserve">2. Mouse simulationn using Action class:
//Create obj of Actions class
Actions </t>
    </r>
    <r>
      <rPr>
        <b/>
        <sz val="11"/>
        <color rgb="FFFF0000"/>
        <rFont val="Calibri"/>
        <family val="2"/>
        <scheme val="minor"/>
      </rPr>
      <t>act</t>
    </r>
    <r>
      <rPr>
        <sz val="11"/>
        <color theme="1"/>
        <rFont val="Calibri"/>
        <family val="2"/>
        <scheme val="minor"/>
      </rPr>
      <t xml:space="preserve"> = new Actions(driver);
</t>
    </r>
    <r>
      <rPr>
        <b/>
        <sz val="11"/>
        <color rgb="FFFF0000"/>
        <rFont val="Calibri"/>
        <family val="2"/>
        <scheme val="minor"/>
      </rPr>
      <t>act.</t>
    </r>
    <r>
      <rPr>
        <b/>
        <i/>
        <sz val="11"/>
        <color theme="6" tint="-0.249977111117893"/>
        <rFont val="Calibri"/>
        <family val="2"/>
        <scheme val="minor"/>
      </rPr>
      <t>moveToElement</t>
    </r>
    <r>
      <rPr>
        <sz val="11"/>
        <color theme="1"/>
        <rFont val="Calibri"/>
        <family val="2"/>
        <scheme val="minor"/>
      </rPr>
      <t xml:space="preserve">(MainMenu).build().perform(); </t>
    </r>
  </si>
  <si>
    <r>
      <rPr>
        <b/>
        <sz val="11"/>
        <color theme="1"/>
        <rFont val="Calibri"/>
        <family val="2"/>
        <scheme val="minor"/>
      </rPr>
      <t>Method Names and Usage:</t>
    </r>
    <r>
      <rPr>
        <sz val="11"/>
        <color theme="1"/>
        <rFont val="Calibri"/>
        <family val="2"/>
        <scheme val="minor"/>
      </rPr>
      <t xml:space="preserve">
1. </t>
    </r>
    <r>
      <rPr>
        <b/>
        <i/>
        <sz val="11"/>
        <color theme="6" tint="-0.249977111117893"/>
        <rFont val="Calibri"/>
        <family val="2"/>
        <scheme val="minor"/>
      </rPr>
      <t>moveToElement</t>
    </r>
    <r>
      <rPr>
        <sz val="11"/>
        <color theme="1"/>
        <rFont val="Calibri"/>
        <family val="2"/>
        <scheme val="minor"/>
      </rPr>
      <t xml:space="preserve">(WebElement)    - Mouse Hover
2. </t>
    </r>
    <r>
      <rPr>
        <b/>
        <i/>
        <sz val="11"/>
        <color theme="6" tint="-0.249977111117893"/>
        <rFont val="Calibri"/>
        <family val="2"/>
        <scheme val="minor"/>
      </rPr>
      <t>contextClick</t>
    </r>
    <r>
      <rPr>
        <sz val="11"/>
        <color theme="1"/>
        <rFont val="Calibri"/>
        <family val="2"/>
        <scheme val="minor"/>
      </rPr>
      <t xml:space="preserve">()    - Right click on page
3. </t>
    </r>
    <r>
      <rPr>
        <b/>
        <i/>
        <sz val="11"/>
        <color theme="6" tint="-0.249977111117893"/>
        <rFont val="Calibri"/>
        <family val="2"/>
        <scheme val="minor"/>
      </rPr>
      <t>contextClick</t>
    </r>
    <r>
      <rPr>
        <sz val="11"/>
        <color theme="1"/>
        <rFont val="Calibri"/>
        <family val="2"/>
        <scheme val="minor"/>
      </rPr>
      <t xml:space="preserve">(WebElement)    - Right click on WebElement
4. </t>
    </r>
    <r>
      <rPr>
        <b/>
        <i/>
        <sz val="11"/>
        <color theme="6" tint="-0.249977111117893"/>
        <rFont val="Calibri"/>
        <family val="2"/>
        <scheme val="minor"/>
      </rPr>
      <t>sendKeys</t>
    </r>
    <r>
      <rPr>
        <sz val="11"/>
        <color theme="1"/>
        <rFont val="Calibri"/>
        <family val="2"/>
        <scheme val="minor"/>
      </rPr>
      <t>(Keys.</t>
    </r>
    <r>
      <rPr>
        <b/>
        <sz val="11"/>
        <color theme="9" tint="-0.249977111117893"/>
        <rFont val="Calibri"/>
        <family val="2"/>
        <scheme val="minor"/>
      </rPr>
      <t>Tab</t>
    </r>
    <r>
      <rPr>
        <sz val="11"/>
        <color theme="1"/>
        <rFont val="Calibri"/>
        <family val="2"/>
        <scheme val="minor"/>
      </rPr>
      <t>)    - For Keyboard events</t>
    </r>
  </si>
  <si>
    <r>
      <t xml:space="preserve">5. </t>
    </r>
    <r>
      <rPr>
        <b/>
        <i/>
        <sz val="11"/>
        <color theme="6" tint="-0.249977111117893"/>
        <rFont val="Calibri"/>
        <family val="2"/>
        <scheme val="minor"/>
      </rPr>
      <t>clickAndHold</t>
    </r>
    <r>
      <rPr>
        <sz val="11"/>
        <color theme="1"/>
        <rFont val="Calibri"/>
        <family val="2"/>
        <scheme val="minor"/>
      </rPr>
      <t xml:space="preserve">(WebElement)    - click on Element and hold until next operation
6. </t>
    </r>
    <r>
      <rPr>
        <b/>
        <i/>
        <sz val="11"/>
        <color theme="6" tint="-0.249977111117893"/>
        <rFont val="Calibri"/>
        <family val="2"/>
        <scheme val="minor"/>
      </rPr>
      <t>release()</t>
    </r>
    <r>
      <rPr>
        <sz val="11"/>
        <color theme="1"/>
        <rFont val="Calibri"/>
        <family val="2"/>
        <scheme val="minor"/>
      </rPr>
      <t xml:space="preserve">    - Release the current control</t>
    </r>
  </si>
  <si>
    <r>
      <t xml:space="preserve">Sending keyboard "Enter" key
</t>
    </r>
    <r>
      <rPr>
        <b/>
        <sz val="11"/>
        <color theme="1"/>
        <rFont val="Calibri"/>
        <family val="2"/>
        <scheme val="minor"/>
      </rPr>
      <t>Syntax:</t>
    </r>
    <r>
      <rPr>
        <sz val="11"/>
        <color theme="1"/>
        <rFont val="Calibri"/>
        <family val="2"/>
        <scheme val="minor"/>
      </rPr>
      <t xml:space="preserve"> </t>
    </r>
    <r>
      <rPr>
        <b/>
        <sz val="11"/>
        <color rgb="FFFF0000"/>
        <rFont val="Calibri"/>
        <family val="2"/>
        <scheme val="minor"/>
      </rPr>
      <t>act</t>
    </r>
    <r>
      <rPr>
        <sz val="11"/>
        <color theme="1"/>
        <rFont val="Calibri"/>
        <family val="2"/>
        <scheme val="minor"/>
      </rPr>
      <t>.</t>
    </r>
    <r>
      <rPr>
        <b/>
        <i/>
        <sz val="11"/>
        <color theme="6" tint="-0.249977111117893"/>
        <rFont val="Calibri"/>
        <family val="2"/>
        <scheme val="minor"/>
      </rPr>
      <t>sendKeys</t>
    </r>
    <r>
      <rPr>
        <sz val="11"/>
        <color theme="1"/>
        <rFont val="Calibri"/>
        <family val="2"/>
        <scheme val="minor"/>
      </rPr>
      <t>(MainMenu, Keys.</t>
    </r>
    <r>
      <rPr>
        <b/>
        <i/>
        <sz val="11"/>
        <color theme="9" tint="-0.249977111117893"/>
        <rFont val="Calibri"/>
        <family val="2"/>
        <scheme val="minor"/>
      </rPr>
      <t>Enter</t>
    </r>
    <r>
      <rPr>
        <sz val="11"/>
        <color theme="1"/>
        <rFont val="Calibri"/>
        <family val="2"/>
        <scheme val="minor"/>
      </rPr>
      <t>).build().perform();</t>
    </r>
  </si>
  <si>
    <r>
      <rPr>
        <b/>
        <sz val="11"/>
        <color rgb="FFFF0000"/>
        <rFont val="Calibri"/>
        <family val="2"/>
        <scheme val="minor"/>
      </rPr>
      <t>act</t>
    </r>
    <r>
      <rPr>
        <sz val="11"/>
        <color theme="1"/>
        <rFont val="Calibri"/>
        <family val="2"/>
        <scheme val="minor"/>
      </rPr>
      <t>.</t>
    </r>
    <r>
      <rPr>
        <b/>
        <i/>
        <sz val="11"/>
        <color theme="6" tint="-0.249977111117893"/>
        <rFont val="Calibri"/>
        <family val="2"/>
        <scheme val="minor"/>
      </rPr>
      <t>sendKeys</t>
    </r>
    <r>
      <rPr>
        <sz val="11"/>
        <color theme="1"/>
        <rFont val="Calibri"/>
        <family val="2"/>
        <scheme val="minor"/>
      </rPr>
      <t>(Keys.</t>
    </r>
    <r>
      <rPr>
        <b/>
        <i/>
        <sz val="11"/>
        <color theme="9" tint="-0.249977111117893"/>
        <rFont val="Calibri"/>
        <family val="2"/>
        <scheme val="minor"/>
      </rPr>
      <t>chord</t>
    </r>
    <r>
      <rPr>
        <sz val="11"/>
        <color theme="1"/>
        <rFont val="Calibri"/>
        <family val="2"/>
        <scheme val="minor"/>
      </rPr>
      <t>(Keys.</t>
    </r>
    <r>
      <rPr>
        <b/>
        <i/>
        <sz val="11"/>
        <color theme="9" tint="-0.249977111117893"/>
        <rFont val="Calibri"/>
        <family val="2"/>
        <scheme val="minor"/>
      </rPr>
      <t>CONTROL</t>
    </r>
    <r>
      <rPr>
        <sz val="11"/>
        <color theme="1"/>
        <rFont val="Calibri"/>
        <family val="2"/>
        <scheme val="minor"/>
      </rPr>
      <t>+"a")).perform();</t>
    </r>
  </si>
  <si>
    <r>
      <t xml:space="preserve">WebElement </t>
    </r>
    <r>
      <rPr>
        <b/>
        <sz val="11"/>
        <color theme="8" tint="-0.249977111117893"/>
        <rFont val="Calibri"/>
        <family val="2"/>
        <scheme val="minor"/>
      </rPr>
      <t>src</t>
    </r>
    <r>
      <rPr>
        <sz val="11"/>
        <color theme="1"/>
        <rFont val="Calibri"/>
        <family val="2"/>
        <scheme val="minor"/>
      </rPr>
      <t xml:space="preserve"> = driver.findElement(By.xpath("draggable element"));</t>
    </r>
  </si>
  <si>
    <r>
      <t xml:space="preserve">WebElement </t>
    </r>
    <r>
      <rPr>
        <b/>
        <sz val="11"/>
        <color theme="8" tint="-0.249977111117893"/>
        <rFont val="Calibri"/>
        <family val="2"/>
        <scheme val="minor"/>
      </rPr>
      <t>dest</t>
    </r>
    <r>
      <rPr>
        <sz val="11"/>
        <color theme="1"/>
        <rFont val="Calibri"/>
        <family val="2"/>
        <scheme val="minor"/>
      </rPr>
      <t xml:space="preserve"> = driver.findElement(By.xpath("droppable element"));</t>
    </r>
  </si>
  <si>
    <r>
      <rPr>
        <b/>
        <sz val="11"/>
        <color rgb="FFFF0000"/>
        <rFont val="Calibri"/>
        <family val="2"/>
        <scheme val="minor"/>
      </rPr>
      <t>act</t>
    </r>
    <r>
      <rPr>
        <sz val="11"/>
        <color theme="1"/>
        <rFont val="Calibri"/>
        <family val="2"/>
        <scheme val="minor"/>
      </rPr>
      <t>.</t>
    </r>
    <r>
      <rPr>
        <b/>
        <i/>
        <sz val="11"/>
        <color theme="6" tint="-0.249977111117893"/>
        <rFont val="Calibri"/>
        <family val="2"/>
        <scheme val="minor"/>
      </rPr>
      <t>dragAndDrop</t>
    </r>
    <r>
      <rPr>
        <sz val="11"/>
        <color theme="1"/>
        <rFont val="Calibri"/>
        <family val="2"/>
        <scheme val="minor"/>
      </rPr>
      <t>(</t>
    </r>
    <r>
      <rPr>
        <b/>
        <sz val="11"/>
        <color theme="8" tint="-0.249977111117893"/>
        <rFont val="Calibri"/>
        <family val="2"/>
        <scheme val="minor"/>
      </rPr>
      <t>src, dest</t>
    </r>
    <r>
      <rPr>
        <sz val="11"/>
        <color theme="1"/>
        <rFont val="Calibri"/>
        <family val="2"/>
        <scheme val="minor"/>
      </rPr>
      <t>).build().perform();</t>
    </r>
  </si>
  <si>
    <r>
      <t>WebElement t = driver.findElement(By.tagName("h1"));
String s = t.</t>
    </r>
    <r>
      <rPr>
        <b/>
        <i/>
        <sz val="11"/>
        <color theme="6" tint="-0.249977111117893"/>
        <rFont val="Calibri"/>
        <family val="2"/>
        <scheme val="minor"/>
      </rPr>
      <t>getCssValue</t>
    </r>
    <r>
      <rPr>
        <sz val="11"/>
        <color theme="1"/>
        <rFont val="Calibri"/>
        <family val="2"/>
        <scheme val="minor"/>
      </rPr>
      <t xml:space="preserve">("color");
String c = </t>
    </r>
    <r>
      <rPr>
        <b/>
        <sz val="11"/>
        <color rgb="FFFF0000"/>
        <rFont val="Calibri"/>
        <family val="2"/>
        <scheme val="minor"/>
      </rPr>
      <t>Color</t>
    </r>
    <r>
      <rPr>
        <b/>
        <i/>
        <sz val="11"/>
        <color theme="6" tint="-0.249977111117893"/>
        <rFont val="Calibri"/>
        <family val="2"/>
        <scheme val="minor"/>
      </rPr>
      <t>.fromString</t>
    </r>
    <r>
      <rPr>
        <sz val="11"/>
        <color theme="1"/>
        <rFont val="Calibri"/>
        <family val="2"/>
        <scheme val="minor"/>
      </rPr>
      <t>(s).asHex();</t>
    </r>
  </si>
  <si>
    <r>
      <t xml:space="preserve">driver.switchTo().frame(0);
WebElement </t>
    </r>
    <r>
      <rPr>
        <b/>
        <sz val="11"/>
        <color rgb="FFFF0000"/>
        <rFont val="Calibri"/>
        <family val="2"/>
        <scheme val="minor"/>
      </rPr>
      <t xml:space="preserve">alertElement </t>
    </r>
    <r>
      <rPr>
        <sz val="11"/>
        <color theme="1"/>
        <rFont val="Calibri"/>
        <family val="2"/>
        <scheme val="minor"/>
      </rPr>
      <t xml:space="preserve">= driver.findElement(By.xpath("//button[contains(text(),'alert')]"));
</t>
    </r>
    <r>
      <rPr>
        <b/>
        <sz val="11"/>
        <color rgb="FFFF0000"/>
        <rFont val="Calibri"/>
        <family val="2"/>
        <scheme val="minor"/>
      </rPr>
      <t>wait</t>
    </r>
    <r>
      <rPr>
        <sz val="11"/>
        <color theme="1"/>
        <rFont val="Calibri"/>
        <family val="2"/>
        <scheme val="minor"/>
      </rPr>
      <t>.until(ExpectedConditions.</t>
    </r>
    <r>
      <rPr>
        <b/>
        <sz val="11"/>
        <color theme="9" tint="-0.249977111117893"/>
        <rFont val="Calibri"/>
        <family val="2"/>
        <scheme val="minor"/>
      </rPr>
      <t>visibilityOf</t>
    </r>
    <r>
      <rPr>
        <sz val="11"/>
        <color theme="1"/>
        <rFont val="Calibri"/>
        <family val="2"/>
        <scheme val="minor"/>
      </rPr>
      <t>(alertElement))
    .click();</t>
    </r>
  </si>
  <si>
    <r>
      <t xml:space="preserve">File </t>
    </r>
    <r>
      <rPr>
        <b/>
        <sz val="11"/>
        <color rgb="FFFF0000"/>
        <rFont val="Calibri"/>
        <family val="2"/>
        <scheme val="minor"/>
      </rPr>
      <t>screenshot</t>
    </r>
    <r>
      <rPr>
        <sz val="11"/>
        <color theme="1"/>
        <rFont val="Calibri"/>
        <family val="2"/>
        <scheme val="minor"/>
      </rPr>
      <t xml:space="preserve"> = </t>
    </r>
    <r>
      <rPr>
        <b/>
        <sz val="11"/>
        <color theme="1"/>
        <rFont val="Calibri"/>
        <family val="2"/>
        <scheme val="minor"/>
      </rPr>
      <t>((TakesScreenshot)driver)</t>
    </r>
    <r>
      <rPr>
        <sz val="11"/>
        <color theme="1"/>
        <rFont val="Calibri"/>
        <family val="2"/>
        <scheme val="minor"/>
      </rPr>
      <t>.</t>
    </r>
    <r>
      <rPr>
        <b/>
        <i/>
        <sz val="11"/>
        <color theme="6" tint="-0.249977111117893"/>
        <rFont val="Calibri"/>
        <family val="2"/>
        <scheme val="minor"/>
      </rPr>
      <t>getScreenshotAs</t>
    </r>
    <r>
      <rPr>
        <sz val="11"/>
        <color theme="1"/>
        <rFont val="Calibri"/>
        <family val="2"/>
        <scheme val="minor"/>
      </rPr>
      <t>(OutputType.</t>
    </r>
    <r>
      <rPr>
        <b/>
        <i/>
        <sz val="11"/>
        <color theme="9" tint="-0.249977111117893"/>
        <rFont val="Calibri"/>
        <family val="2"/>
        <scheme val="minor"/>
      </rPr>
      <t>FILE</t>
    </r>
    <r>
      <rPr>
        <sz val="11"/>
        <color theme="1"/>
        <rFont val="Calibri"/>
        <family val="2"/>
        <scheme val="minor"/>
      </rPr>
      <t xml:space="preserve">);
</t>
    </r>
    <r>
      <rPr>
        <b/>
        <sz val="11"/>
        <color rgb="FFFF0000"/>
        <rFont val="Calibri"/>
        <family val="2"/>
        <scheme val="minor"/>
      </rPr>
      <t>FileUtils</t>
    </r>
    <r>
      <rPr>
        <sz val="11"/>
        <color theme="1"/>
        <rFont val="Calibri"/>
        <family val="2"/>
        <scheme val="minor"/>
      </rPr>
      <t>.copyFile(screenshot, new File(".\\target\\ScreenShots\\SS.jpg"));</t>
    </r>
  </si>
  <si>
    <t>Difference between Selenium 3 and Selenium 4</t>
  </si>
  <si>
    <t>Selenium 3</t>
  </si>
  <si>
    <t>Selenium 4</t>
  </si>
  <si>
    <t>Architecture</t>
  </si>
  <si>
    <t>json wire protocol over HTTPS</t>
  </si>
  <si>
    <t>W3C Protocol. All browsers follow it</t>
  </si>
  <si>
    <t xml:space="preserve">better communication with the browsers, stability, and common code (i.e. no browser specific code required). 
Due to W3C there is a direct transfer of information between client and server.
Major components of selenium 4 are selenium client and webdriver language bindings.
</t>
  </si>
  <si>
    <t>Chrome Driver</t>
  </si>
  <si>
    <t>Chrome Driver and Edge Driver extend the 'chromium driver' class, which further extends Remote Driver</t>
  </si>
  <si>
    <t>Optimized Selenium Grid</t>
  </si>
  <si>
    <t>Relative Locators</t>
  </si>
  <si>
    <r>
      <t xml:space="preserve">above, below, toRightof,toLeftof, near
e.g. </t>
    </r>
    <r>
      <rPr>
        <sz val="11"/>
        <color theme="1"/>
        <rFont val="Calibri"/>
        <family val="2"/>
        <scheme val="minor"/>
      </rPr>
      <t xml:space="preserve">
By username = RelativeLocator.with(By.id("loginusername")).above(By.id("loginpassword"));
driver.findElement(username).sendKeys("demouser");</t>
    </r>
  </si>
  <si>
    <t>Chrome DevTools</t>
  </si>
  <si>
    <t>new addition</t>
  </si>
  <si>
    <t>DesiredCapabilities</t>
  </si>
  <si>
    <t>DesiredCapabilities to add extra capabilities
e.g. 
DesiredCapabilities caps = DesiredCapabilities.firefox();
caps.setCapability("platform", "Windows 10");
caps.setCapability("version", "92");
caps.setCapability("build", myTestBuild);
caps.setCapability("name", myTestName);
WebDriver driver = new RemoteWebDriver(new URL(cloudUrl), caps);</t>
  </si>
  <si>
    <t>Replaced by 'Options' class
e.g. 
FirefoxOptions browserOptions = new FirefoxOptions();
browserOptions.setPlatformName("Windows 10");
browserOptions.setBrowserVersion("92");
Map&lt;String, Object&gt; cloudOptions = new HashMap&lt;&gt;();
cloudOptions.put("build", myTestBuild);
cloudOptions.put("name", myTestName);
browserOptions.setCapability("cloud:options", cloudOptions);
WebDriver driver = new RemoteWebDriver(new URL(cloudUrl), browserOptions);</t>
  </si>
  <si>
    <t>New methods to actions class</t>
  </si>
  <si>
    <t>ContextClick(), Click(), ClickAndHold(), doubleClick(), and release().</t>
  </si>
  <si>
    <t>Selenium 4 uses W3C standard protocol</t>
  </si>
  <si>
    <t>Selenium 3 used JSON wire protocol</t>
  </si>
  <si>
    <t>Chrome Driver class extends chromium driver class</t>
  </si>
  <si>
    <t>Chrome Driver class extended Remote webdriver class</t>
  </si>
  <si>
    <t>Optimised Selenium Grid with enhanced GUI and support for Docker</t>
  </si>
  <si>
    <t>No Support for docker</t>
  </si>
  <si>
    <t>Enhanced Selenium IDE with improved GUI and cloud based selenium grid</t>
  </si>
  <si>
    <t>Selenium IDE just available as a firefox add-on</t>
  </si>
  <si>
    <t>Testers need not start the Hub and Node jars everytime they perform automation testing using Selenium Grid.</t>
  </si>
  <si>
    <t>Testers always had to start Hub and Node jars which was a difficult task in selenium 3.</t>
  </si>
  <si>
    <t>Parallel Scenario execution</t>
  </si>
  <si>
    <t>Re-run the failed Test Cases</t>
  </si>
  <si>
    <t>Add plugin 'rerun' to the runner class decorator</t>
  </si>
  <si>
    <r>
      <t xml:space="preserve">  </t>
    </r>
    <r>
      <rPr>
        <sz val="11"/>
        <color rgb="FFFF0000"/>
        <rFont val="Calibri"/>
        <family val="2"/>
        <scheme val="minor"/>
      </rPr>
      <t>plugin</t>
    </r>
    <r>
      <rPr>
        <sz val="11"/>
        <color theme="1"/>
        <rFont val="Calibri"/>
        <family val="2"/>
        <scheme val="minor"/>
      </rPr>
      <t xml:space="preserve"> = {    "com.aventstack.extentreports.cucumber.adapter.ExtentCucumberAdapter:" }</t>
    </r>
  </si>
  <si>
    <t>Create one more runner file</t>
  </si>
  <si>
    <r>
      <t xml:space="preserve">@CucumberOptions(
  </t>
    </r>
    <r>
      <rPr>
        <sz val="11"/>
        <rFont val="Calibri"/>
        <family val="2"/>
        <scheme val="minor"/>
      </rPr>
      <t>features</t>
    </r>
    <r>
      <rPr>
        <sz val="11"/>
        <color theme="1"/>
        <rFont val="Calibri"/>
        <family val="2"/>
        <scheme val="minor"/>
      </rPr>
      <t xml:space="preserve"> = {"src/test/resources/prac/mda/features"},
  </t>
    </r>
    <r>
      <rPr>
        <sz val="11"/>
        <rFont val="Calibri"/>
        <family val="2"/>
        <scheme val="minor"/>
      </rPr>
      <t>glue</t>
    </r>
    <r>
      <rPr>
        <sz val="11"/>
        <color theme="1"/>
        <rFont val="Calibri"/>
        <family val="2"/>
        <scheme val="minor"/>
      </rPr>
      <t xml:space="preserve"> = {"prac/mda/stepDefinitions"},
  </t>
    </r>
    <r>
      <rPr>
        <sz val="11"/>
        <color rgb="FFFF0000"/>
        <rFont val="Calibri"/>
        <family val="2"/>
        <scheme val="minor"/>
      </rPr>
      <t>plugin</t>
    </r>
    <r>
      <rPr>
        <sz val="11"/>
        <color theme="1"/>
        <rFont val="Calibri"/>
        <family val="2"/>
        <scheme val="minor"/>
      </rPr>
      <t xml:space="preserve"> = {
    "html:target/cucumber-html-report/cucumber.html",
    "json:target/cucumber-reports/cucumber.json",
    "junit:target/cucumber-reports/cucumber.xml" },
    </t>
    </r>
    <r>
      <rPr>
        <sz val="11"/>
        <color rgb="FFFF0000"/>
        <rFont val="Calibri"/>
        <family val="2"/>
        <scheme val="minor"/>
      </rPr>
      <t>"rerun:</t>
    </r>
    <r>
      <rPr>
        <sz val="11"/>
        <color rgb="FF450FDD"/>
        <rFont val="Calibri"/>
        <family val="2"/>
        <scheme val="minor"/>
      </rPr>
      <t>target/rerunFailedScenario.txt"</t>
    </r>
    <r>
      <rPr>
        <sz val="11"/>
        <color theme="1"/>
        <rFont val="Calibri"/>
        <family val="2"/>
        <scheme val="minor"/>
      </rPr>
      <t xml:space="preserve">
)</t>
    </r>
  </si>
  <si>
    <t>Add the *.txt file location generated to this runner file's 'features' attribute</t>
  </si>
  <si>
    <r>
      <t xml:space="preserve">@CucumberOptions(
  </t>
    </r>
    <r>
      <rPr>
        <sz val="11"/>
        <color rgb="FFFF0000"/>
        <rFont val="Calibri"/>
        <family val="2"/>
        <scheme val="minor"/>
      </rPr>
      <t>features</t>
    </r>
    <r>
      <rPr>
        <sz val="11"/>
        <color theme="1"/>
        <rFont val="Calibri"/>
        <family val="2"/>
        <scheme val="minor"/>
      </rPr>
      <t xml:space="preserve"> = {"</t>
    </r>
    <r>
      <rPr>
        <sz val="11"/>
        <color rgb="FF450FDD"/>
        <rFont val="Calibri"/>
        <family val="2"/>
        <scheme val="minor"/>
      </rPr>
      <t>@target/rerunFailedScenario.txt</t>
    </r>
    <r>
      <rPr>
        <sz val="11"/>
        <color theme="1"/>
        <rFont val="Calibri"/>
        <family val="2"/>
        <scheme val="minor"/>
      </rPr>
      <t>"},
  glue = {"prac/mda/stepDefinitions"},
  plugin = {
    "html:target/cucumber-html-report/cucumber.html",
    "json:target/cucumber-reports/cucumber.json",
    "junit:target/cucumber-reports/cucumber.xml" },
    "rerun:target/rerunFailedScenario.txt"
)</t>
    </r>
  </si>
  <si>
    <t>API Response Codes</t>
  </si>
  <si>
    <t>100 – 199</t>
  </si>
  <si>
    <t>200 – 299</t>
  </si>
  <si>
    <t>300 – 399</t>
  </si>
  <si>
    <t>400 – 499</t>
  </si>
  <si>
    <t>500 – 599</t>
  </si>
  <si>
    <t>1. Informational responses</t>
  </si>
  <si>
    <t>2. Successful responses</t>
  </si>
  <si>
    <t>3. Redirection messages</t>
  </si>
  <si>
    <t>4. Client error responses</t>
  </si>
  <si>
    <t>5. Server error responses</t>
  </si>
  <si>
    <t>100 Continue</t>
  </si>
  <si>
    <t>This interim response indicates that the client should continue the request or ignore the response if the request is already finished.</t>
  </si>
  <si>
    <t>101 Switching Protocols</t>
  </si>
  <si>
    <t>This code is sent in response to an Upgrade request header from the client and indicates the protocol the server is switching to.</t>
  </si>
  <si>
    <t>102 Processing (WebDAV)</t>
  </si>
  <si>
    <t>This code indicates that the server has received and is processing the request, but no response is available yet.</t>
  </si>
  <si>
    <t>103 Early Hints</t>
  </si>
  <si>
    <t>This status code is primarily intended to be used with the Link header, letting the user agent start preloading resources while the server prepares a response or preconnect to an origin from which the page will need resources.</t>
  </si>
  <si>
    <t>200 OK</t>
  </si>
  <si>
    <t>201 Created</t>
  </si>
  <si>
    <r>
      <t xml:space="preserve">The request succeeded, and a new resource was created as a result. This is typically the response sent after </t>
    </r>
    <r>
      <rPr>
        <b/>
        <sz val="11"/>
        <color theme="1"/>
        <rFont val="Calibri"/>
        <family val="2"/>
        <scheme val="minor"/>
      </rPr>
      <t>POST</t>
    </r>
    <r>
      <rPr>
        <sz val="11"/>
        <color theme="1"/>
        <rFont val="Calibri"/>
        <family val="2"/>
        <scheme val="minor"/>
      </rPr>
      <t xml:space="preserve"> requests, or some </t>
    </r>
    <r>
      <rPr>
        <b/>
        <sz val="11"/>
        <color theme="1"/>
        <rFont val="Calibri"/>
        <family val="2"/>
        <scheme val="minor"/>
      </rPr>
      <t>PUT</t>
    </r>
    <r>
      <rPr>
        <sz val="11"/>
        <color theme="1"/>
        <rFont val="Calibri"/>
        <family val="2"/>
        <scheme val="minor"/>
      </rPr>
      <t xml:space="preserve"> requests.</t>
    </r>
  </si>
  <si>
    <t>202 Accepted</t>
  </si>
  <si>
    <t>203 Non-Authoritative Information</t>
  </si>
  <si>
    <r>
      <rPr>
        <b/>
        <sz val="11"/>
        <color rgb="FFFF0000"/>
        <rFont val="Calibri"/>
        <family val="2"/>
        <scheme val="minor"/>
      </rPr>
      <t>The request succeeded.</t>
    </r>
    <r>
      <rPr>
        <sz val="11"/>
        <color theme="1"/>
        <rFont val="Calibri"/>
        <family val="2"/>
        <scheme val="minor"/>
      </rPr>
      <t xml:space="preserve"> The result meaning of "success" depends on the HTTP method:
</t>
    </r>
    <r>
      <rPr>
        <b/>
        <sz val="11"/>
        <color theme="1"/>
        <rFont val="Calibri"/>
        <family val="2"/>
        <scheme val="minor"/>
      </rPr>
      <t>GET</t>
    </r>
    <r>
      <rPr>
        <sz val="11"/>
        <color theme="1"/>
        <rFont val="Calibri"/>
        <family val="2"/>
        <scheme val="minor"/>
      </rPr>
      <t xml:space="preserve">: The resource has been fetched and transmitted in the message body.
</t>
    </r>
    <r>
      <rPr>
        <b/>
        <sz val="11"/>
        <color theme="1"/>
        <rFont val="Calibri"/>
        <family val="2"/>
        <scheme val="minor"/>
      </rPr>
      <t>HEAD</t>
    </r>
    <r>
      <rPr>
        <sz val="11"/>
        <color theme="1"/>
        <rFont val="Calibri"/>
        <family val="2"/>
        <scheme val="minor"/>
      </rPr>
      <t xml:space="preserve">: The representation headers are included in the response without any message body.
</t>
    </r>
    <r>
      <rPr>
        <b/>
        <sz val="11"/>
        <color theme="1"/>
        <rFont val="Calibri"/>
        <family val="2"/>
        <scheme val="minor"/>
      </rPr>
      <t>PUT</t>
    </r>
    <r>
      <rPr>
        <sz val="11"/>
        <color theme="1"/>
        <rFont val="Calibri"/>
        <family val="2"/>
        <scheme val="minor"/>
      </rPr>
      <t xml:space="preserve"> or </t>
    </r>
    <r>
      <rPr>
        <b/>
        <sz val="11"/>
        <color theme="1"/>
        <rFont val="Calibri"/>
        <family val="2"/>
        <scheme val="minor"/>
      </rPr>
      <t>POST</t>
    </r>
    <r>
      <rPr>
        <sz val="11"/>
        <color theme="1"/>
        <rFont val="Calibri"/>
        <family val="2"/>
        <scheme val="minor"/>
      </rPr>
      <t xml:space="preserve">: The resource describing the result of the action is transmitted in the message body.
</t>
    </r>
    <r>
      <rPr>
        <b/>
        <sz val="11"/>
        <color theme="1"/>
        <rFont val="Calibri"/>
        <family val="2"/>
        <scheme val="minor"/>
      </rPr>
      <t>TRACE</t>
    </r>
    <r>
      <rPr>
        <sz val="11"/>
        <color theme="1"/>
        <rFont val="Calibri"/>
        <family val="2"/>
        <scheme val="minor"/>
      </rPr>
      <t>: The message body contains the request message as received by the server.</t>
    </r>
  </si>
  <si>
    <r>
      <t>This response code means the</t>
    </r>
    <r>
      <rPr>
        <b/>
        <sz val="11"/>
        <color theme="1"/>
        <rFont val="Calibri"/>
        <family val="2"/>
        <scheme val="minor"/>
      </rPr>
      <t xml:space="preserve"> </t>
    </r>
    <r>
      <rPr>
        <b/>
        <sz val="11"/>
        <color rgb="FFFF0000"/>
        <rFont val="Calibri"/>
        <family val="2"/>
        <scheme val="minor"/>
      </rPr>
      <t>returned metadata is not exactly the same as is available from the origin server, but is collected from a local or a third-party copy</t>
    </r>
    <r>
      <rPr>
        <sz val="11"/>
        <color theme="1"/>
        <rFont val="Calibri"/>
        <family val="2"/>
        <scheme val="minor"/>
      </rPr>
      <t xml:space="preserve">. This is mostly used for mirrors or backups of another resource. Except for that specific case, the </t>
    </r>
    <r>
      <rPr>
        <b/>
        <sz val="11"/>
        <color theme="1"/>
        <rFont val="Calibri"/>
        <family val="2"/>
        <scheme val="minor"/>
      </rPr>
      <t>200 OK</t>
    </r>
    <r>
      <rPr>
        <sz val="11"/>
        <color theme="1"/>
        <rFont val="Calibri"/>
        <family val="2"/>
        <scheme val="minor"/>
      </rPr>
      <t xml:space="preserve"> response is preferred to this status.</t>
    </r>
  </si>
  <si>
    <t>204 No Content</t>
  </si>
  <si>
    <t>205 Reset Content</t>
  </si>
  <si>
    <r>
      <t xml:space="preserve">Tells the </t>
    </r>
    <r>
      <rPr>
        <b/>
        <sz val="11"/>
        <color rgb="FFFF0000"/>
        <rFont val="Calibri"/>
        <family val="2"/>
        <scheme val="minor"/>
      </rPr>
      <t>user agent to reset the document which sent this request.</t>
    </r>
  </si>
  <si>
    <t>206 Partial Content</t>
  </si>
  <si>
    <t>207 Multi-Status (WebDAV)</t>
  </si>
  <si>
    <r>
      <rPr>
        <b/>
        <sz val="11"/>
        <color rgb="FFFF0000"/>
        <rFont val="Calibri"/>
        <family val="2"/>
        <scheme val="minor"/>
      </rPr>
      <t>Conveys information about multiple resources</t>
    </r>
    <r>
      <rPr>
        <sz val="11"/>
        <color theme="1"/>
        <rFont val="Calibri"/>
        <family val="2"/>
        <scheme val="minor"/>
      </rPr>
      <t>, for situations where multiple status codes might be appropriate.</t>
    </r>
  </si>
  <si>
    <t>208 Already Reported (WebDAV)</t>
  </si>
  <si>
    <t>226 IM Used (HTTP Delta encoding)</t>
  </si>
  <si>
    <t>Used inside a &lt;dav:propstat&gt; response element to avoid repeatedly enumerating the internal members of multiple bindings to the same collection.</t>
  </si>
  <si>
    <t>The server has fulfilled a GET request for the resource, and the response is a representation of the result of one or more instance-manipulations applied to the current instance.</t>
  </si>
  <si>
    <t>300 Multiple Choices</t>
  </si>
  <si>
    <t>The request has more than one possible response. The user agent or user should choose one of them. (There is no standardized way of choosing one of the responses, but HTML links to the possibilities are recommended so the user can pick.)</t>
  </si>
  <si>
    <t>301 Moved Permanently</t>
  </si>
  <si>
    <t>302 Found</t>
  </si>
  <si>
    <t>This response code means that the URI of requested resource has been changed temporarily. Further changes in the URI might be made in the future. Therefore, this same URI should be used by the client in future requests.</t>
  </si>
  <si>
    <t>303 See Other</t>
  </si>
  <si>
    <t>This is used for caching purposes. It tells the client that the response has not been modified, so the client can continue to use the same cached version of the response.</t>
  </si>
  <si>
    <t>The server sent this response to direct the client to get the requested resource at another URI with a GET request.</t>
  </si>
  <si>
    <t>304 Not Modified</t>
  </si>
  <si>
    <t>305 Use Proxy</t>
  </si>
  <si>
    <t xml:space="preserve">Defined in a previous version of the HTTP specification to indicate that a requested response must be accessed by a proxy. It has been deprecated due to security concerns regarding in-band configuration of a proxy.
</t>
  </si>
  <si>
    <t>306 unused</t>
  </si>
  <si>
    <t>This response code is no longer used; it is just reserved. It was used in a previous version of the HTTP/1.1 specification.</t>
  </si>
  <si>
    <t>307 Temporary Redirect</t>
  </si>
  <si>
    <t>The server sends this response to direct the client to get the requested resource at another URI with the same method that was used in the prior request. This has the same semantics as the 302 Found HTTP response code, with the exception that the user agent must not change the HTTP method used: if a POST was used in the first request, a POST must be used in the second request.</t>
  </si>
  <si>
    <t>308 Permanent Redirect</t>
  </si>
  <si>
    <t>This means that the resource is now permanently located at another URI, specified by the Location: HTTP Response header. This has the same semantics as the 301 Moved Permanently HTTP response code, with the exception that the user agent must not change the HTTP method used: if a POST was used in the first request, a POST must be used in the second request.</t>
  </si>
  <si>
    <t>400 Bad Request</t>
  </si>
  <si>
    <t>401 Unauthorized</t>
  </si>
  <si>
    <r>
      <t>Although the HTTP standard specifies "unauthorized", semantically this response means "unauthenticated". That is,</t>
    </r>
    <r>
      <rPr>
        <b/>
        <sz val="11"/>
        <color rgb="FFFF0000"/>
        <rFont val="Calibri"/>
        <family val="2"/>
        <scheme val="minor"/>
      </rPr>
      <t xml:space="preserve"> the client must authenticate itself to get the requested response.</t>
    </r>
  </si>
  <si>
    <t>402 Payment Required</t>
  </si>
  <si>
    <t>403 Forbidden</t>
  </si>
  <si>
    <r>
      <rPr>
        <b/>
        <sz val="11"/>
        <color rgb="FFFF0000"/>
        <rFont val="Calibri"/>
        <family val="2"/>
        <scheme val="minor"/>
      </rPr>
      <t>The client does not have access rights to the content</t>
    </r>
    <r>
      <rPr>
        <sz val="11"/>
        <color theme="1"/>
        <rFont val="Calibri"/>
        <family val="2"/>
        <scheme val="minor"/>
      </rPr>
      <t xml:space="preserve">; that is, it is unauthorized, so the server is refusing to give the requested resource. </t>
    </r>
    <r>
      <rPr>
        <b/>
        <sz val="11"/>
        <color rgb="FFFF0000"/>
        <rFont val="Calibri"/>
        <family val="2"/>
        <scheme val="minor"/>
      </rPr>
      <t>Unlike 401 Unauthorized, the client's identity is known to the server.</t>
    </r>
  </si>
  <si>
    <t>404 Not Found</t>
  </si>
  <si>
    <t>405 Method Not Allowed</t>
  </si>
  <si>
    <t>406 Not Acceptable</t>
  </si>
  <si>
    <t>407 Proxy Authentication Required</t>
  </si>
  <si>
    <t>This is similar to 401 Unauthorized but authentication is needed to be done by a proxy.</t>
  </si>
  <si>
    <t>408 Request Timeout</t>
  </si>
  <si>
    <r>
      <t>This response is sent on an idle connection by some servers, even without any previous request by the client. It means that</t>
    </r>
    <r>
      <rPr>
        <b/>
        <sz val="11"/>
        <color rgb="FFFF0000"/>
        <rFont val="Calibri"/>
        <family val="2"/>
        <scheme val="minor"/>
      </rPr>
      <t xml:space="preserve"> the server would like to shut down this unused connection</t>
    </r>
    <r>
      <rPr>
        <sz val="11"/>
        <color theme="1"/>
        <rFont val="Calibri"/>
        <family val="2"/>
        <scheme val="minor"/>
      </rPr>
      <t>. This response is used much more since some browsers, like Chrome, Firefox 27+, or IE9, use HTTP pre-connection mechanisms to speed up surfing. Also note that some servers merely shut down the connection without sending this message.</t>
    </r>
  </si>
  <si>
    <t>409 Conflict</t>
  </si>
  <si>
    <t>This response is sent when a request conflicts with the current state of the server.</t>
  </si>
  <si>
    <t>410 Gone</t>
  </si>
  <si>
    <t>This response is sent when the requested content has been permanently deleted from server, with no forwarding address. Clients are expected to remove their caches and links to the resource. The HTTP specification intends this status code to be used for "limited-time, promotional services". APIs should not feel compelled to indicate resources that have been deleted with this status code.</t>
  </si>
  <si>
    <t>411 Length Required</t>
  </si>
  <si>
    <t>Server rejected the request because the Content-Length header field is not defined and the server requires it.</t>
  </si>
  <si>
    <t>412 Precondition Failed</t>
  </si>
  <si>
    <t>The client has indicated preconditions in its headers which the server does not meet.</t>
  </si>
  <si>
    <t>413 Payload Too Large</t>
  </si>
  <si>
    <t>Request entity is larger than limits defined by server. The server might close the connection or return an Retry-After header field.</t>
  </si>
  <si>
    <t>414 URI Too Long</t>
  </si>
  <si>
    <t>The URI requested by the client is longer than the server is willing to interpret</t>
  </si>
  <si>
    <t>415 Unsupported Media Type</t>
  </si>
  <si>
    <t>The media format of the requested data is not supported by the server, so the server is rejecting the request.</t>
  </si>
  <si>
    <t>416 Range Not Satisfiable</t>
  </si>
  <si>
    <t>The range specified by the Range header field in the request cannot be fulfilled. It's possible that the range is outside the size of the target URI's data.</t>
  </si>
  <si>
    <t>417 Expectation Failed</t>
  </si>
  <si>
    <t>This response code means the expectation indicated by the Expect request header field cannot be met by the server.</t>
  </si>
  <si>
    <t>418 I'm a teapot</t>
  </si>
  <si>
    <t>The server refuses the attempt to brew coffee with a teapot.</t>
  </si>
  <si>
    <t>421 Misdirected Request</t>
  </si>
  <si>
    <t>The request was directed at a server that is not able to produce a response. This can be sent by a server that is not configured to produce responses for the combination of scheme and authority that are included in the request URI.</t>
  </si>
  <si>
    <t>422 Unprocessable Content (WebDAV)</t>
  </si>
  <si>
    <t>The request was well-formed but was unable to be followed due to semantic errors.</t>
  </si>
  <si>
    <t>423 Locked (WebDAV)</t>
  </si>
  <si>
    <t>The resource that is being accessed is locked.</t>
  </si>
  <si>
    <t>424 Failed Dependency</t>
  </si>
  <si>
    <t>The request failed due to failure of a previous request.</t>
  </si>
  <si>
    <t>425 Too Early</t>
  </si>
  <si>
    <t>Indicates that the server is unwilling to risk processing a request that might be replayed.</t>
  </si>
  <si>
    <r>
      <rPr>
        <b/>
        <sz val="11"/>
        <color theme="9" tint="-0.249977111117893"/>
        <rFont val="Calibri"/>
        <family val="2"/>
        <scheme val="minor"/>
      </rPr>
      <t>The server cannot find the requested resource.</t>
    </r>
    <r>
      <rPr>
        <sz val="11"/>
        <color theme="1"/>
        <rFont val="Calibri"/>
        <family val="2"/>
        <scheme val="minor"/>
      </rPr>
      <t xml:space="preserve"> In the browser, this means the URL is not recognized. In an API, this can also mean that the endpoint is valid but the resource itself does not exist. Servers may also send this response instead of 403 Forbidden to hide the existence of a resource from an unauthorized client. This response code is probably the most well known due to its frequent occurrence on the web.</t>
    </r>
  </si>
  <si>
    <t>426 Upgrade Required</t>
  </si>
  <si>
    <t>The server refuses to perform the request using the current protocol but might be willing to do so after the client upgrades to a different protocol. The server sends an Upgrade header in a 426 response to indicate the required protocol(s).</t>
  </si>
  <si>
    <t>428 Precondition Required</t>
  </si>
  <si>
    <t>The origin server requires the request to be conditional. This response is intended to prevent the 'lost update' problem, where a client GETs a resource's state, modifies it and PUTs it back to the server, when meanwhile a third party has modified the state on the server, leading to a conflict.</t>
  </si>
  <si>
    <t>429 Too Many Requests</t>
  </si>
  <si>
    <t>The user has sent too many requests in a given amount of time ("rate limiting").</t>
  </si>
  <si>
    <t>431 Request Header Fields Too Large</t>
  </si>
  <si>
    <t>The server is unwilling to process the request because its header fields are too large. The request may be resubmitted after reducing the size of the request header fields.</t>
  </si>
  <si>
    <t>451 Unavailable For Legal Reasons</t>
  </si>
  <si>
    <t>The user agent requested a resource that cannot legally be provided, such as a web page censored by a government.</t>
  </si>
  <si>
    <t>500 Internal Server Error</t>
  </si>
  <si>
    <t>The server has encountered a situation it does not know how to handle.</t>
  </si>
  <si>
    <t>501 Not Implemented</t>
  </si>
  <si>
    <r>
      <rPr>
        <b/>
        <sz val="11"/>
        <color rgb="FFFF0000"/>
        <rFont val="Calibri"/>
        <family val="2"/>
        <scheme val="minor"/>
      </rPr>
      <t>The request method is not supported by the server and cannot be handled</t>
    </r>
    <r>
      <rPr>
        <sz val="11"/>
        <color theme="1"/>
        <rFont val="Calibri"/>
        <family val="2"/>
        <scheme val="minor"/>
      </rPr>
      <t>. The only methods that servers are required to support (and therefore that must not return this code) are GET and HEAD.</t>
    </r>
  </si>
  <si>
    <t>502 Bad Gateway</t>
  </si>
  <si>
    <r>
      <t xml:space="preserve">This error response means that </t>
    </r>
    <r>
      <rPr>
        <b/>
        <sz val="11"/>
        <color theme="9" tint="-0.249977111117893"/>
        <rFont val="Calibri"/>
        <family val="2"/>
        <scheme val="minor"/>
      </rPr>
      <t>the server</t>
    </r>
    <r>
      <rPr>
        <sz val="11"/>
        <color theme="1"/>
        <rFont val="Calibri"/>
        <family val="2"/>
        <scheme val="minor"/>
      </rPr>
      <t xml:space="preserve">, while working as a gateway to get a response needed to handle the request, </t>
    </r>
    <r>
      <rPr>
        <b/>
        <sz val="11"/>
        <color theme="9" tint="-0.249977111117893"/>
        <rFont val="Calibri"/>
        <family val="2"/>
        <scheme val="minor"/>
      </rPr>
      <t>got an invalid response.</t>
    </r>
  </si>
  <si>
    <t>503 Service Unavailable</t>
  </si>
  <si>
    <r>
      <rPr>
        <b/>
        <sz val="11"/>
        <color rgb="FFFF0000"/>
        <rFont val="Calibri"/>
        <family val="2"/>
        <scheme val="minor"/>
      </rPr>
      <t>The server is not ready to handle the request.</t>
    </r>
    <r>
      <rPr>
        <sz val="11"/>
        <color theme="1"/>
        <rFont val="Calibri"/>
        <family val="2"/>
        <scheme val="minor"/>
      </rPr>
      <t xml:space="preserve"> Common causes are a server that is down for maintenance or that is overloaded. Note that together with this response, a user-friendly page explaining the problem should be sent. This response should be used for temporary conditions and the Retry-After HTTP header should, if possible, contain the estimated time before the recovery of the service. The webmaster must also take care about the caching-related headers that are sent along with this response, as these temporary condition responses should usually not be cached.</t>
    </r>
  </si>
  <si>
    <t>504 Gateway Timeout</t>
  </si>
  <si>
    <t>505 HTTP Version Not Supported</t>
  </si>
  <si>
    <t>The HTTP version used in the request is not supported by the server.</t>
  </si>
  <si>
    <t>506 Variant Also Negotiates</t>
  </si>
  <si>
    <t>The server has an internal configuration error: the chosen variant resource is configured to engage in transparent content negotiation itself, and is therefore not a proper end point in the negotiation process</t>
  </si>
  <si>
    <r>
      <t xml:space="preserve">507 Insufficient Storage </t>
    </r>
    <r>
      <rPr>
        <b/>
        <u/>
        <sz val="11"/>
        <color theme="10"/>
        <rFont val="Calibri"/>
        <family val="2"/>
        <scheme val="minor"/>
      </rPr>
      <t>(WebDAV)</t>
    </r>
  </si>
  <si>
    <t>The method could not be performed on the resource because the server is unable to store the representation needed to successfully complete the request.</t>
  </si>
  <si>
    <t>508 Loop Detected (WebDAV)</t>
  </si>
  <si>
    <t>The server detected an infinite loop while processing the request.</t>
  </si>
  <si>
    <t>510 Not Extended</t>
  </si>
  <si>
    <t>Further extensions to the request are required for the server to fulfill it.</t>
  </si>
  <si>
    <t>511 Network Authentication Required</t>
  </si>
  <si>
    <t>Indicates that the client needs to authenticate to gain network access.</t>
  </si>
  <si>
    <t>9</t>
  </si>
  <si>
    <t>Click on the cell to read the Response Codes</t>
  </si>
  <si>
    <r>
      <t xml:space="preserve">This error response is given when </t>
    </r>
    <r>
      <rPr>
        <sz val="11"/>
        <color theme="9" tint="-0.249977111117893"/>
        <rFont val="Calibri"/>
        <family val="2"/>
        <scheme val="minor"/>
      </rPr>
      <t>t</t>
    </r>
    <r>
      <rPr>
        <b/>
        <sz val="11"/>
        <color theme="9" tint="-0.249977111117893"/>
        <rFont val="Calibri"/>
        <family val="2"/>
        <scheme val="minor"/>
      </rPr>
      <t>he server is acting as a gateway and cannot get a response in time.</t>
    </r>
  </si>
  <si>
    <r>
      <rPr>
        <b/>
        <sz val="11"/>
        <color rgb="FFFF0000"/>
        <rFont val="Calibri"/>
        <family val="2"/>
        <scheme val="minor"/>
      </rPr>
      <t>The request has been received but not yet acted upon</t>
    </r>
    <r>
      <rPr>
        <sz val="11"/>
        <color theme="1"/>
        <rFont val="Calibri"/>
        <family val="2"/>
        <scheme val="minor"/>
      </rPr>
      <t>. It is noncommittal, since there is no way in HTTP to later send an asynchronous response indicating the outcome of the request.</t>
    </r>
    <r>
      <rPr>
        <b/>
        <sz val="11"/>
        <color theme="1"/>
        <rFont val="Calibri"/>
        <family val="2"/>
        <scheme val="minor"/>
      </rPr>
      <t xml:space="preserve"> </t>
    </r>
    <r>
      <rPr>
        <b/>
        <sz val="11"/>
        <color theme="9" tint="-0.249977111117893"/>
        <rFont val="Calibri"/>
        <family val="2"/>
        <scheme val="minor"/>
      </rPr>
      <t>It is intended for cases where another process or server handles the request, or for batch processing.</t>
    </r>
  </si>
  <si>
    <r>
      <rPr>
        <b/>
        <sz val="11"/>
        <color theme="9" tint="-0.249977111117893"/>
        <rFont val="Calibri"/>
        <family val="2"/>
        <scheme val="minor"/>
      </rPr>
      <t>There is no content to send for this request, but the headers may be useful</t>
    </r>
    <r>
      <rPr>
        <sz val="11"/>
        <color theme="6" tint="-0.249977111117893"/>
        <rFont val="Calibri"/>
        <family val="2"/>
        <scheme val="minor"/>
      </rPr>
      <t>.</t>
    </r>
    <r>
      <rPr>
        <sz val="11"/>
        <color theme="1"/>
        <rFont val="Calibri"/>
        <family val="2"/>
        <scheme val="minor"/>
      </rPr>
      <t xml:space="preserve"> The user agent may update its cached headers for this resource with the new ones.</t>
    </r>
  </si>
  <si>
    <r>
      <t xml:space="preserve">This response code is used </t>
    </r>
    <r>
      <rPr>
        <b/>
        <sz val="11"/>
        <color theme="9" tint="-0.249977111117893"/>
        <rFont val="Calibri"/>
        <family val="2"/>
        <scheme val="minor"/>
      </rPr>
      <t>when the Range header is sent from the client to request only part of a resource.</t>
    </r>
  </si>
  <si>
    <r>
      <t xml:space="preserve">The URL of the requested resource has been changed permanently. </t>
    </r>
    <r>
      <rPr>
        <b/>
        <sz val="11"/>
        <color theme="9" tint="-0.249977111117893"/>
        <rFont val="Calibri"/>
        <family val="2"/>
        <scheme val="minor"/>
      </rPr>
      <t>The new URL is given in the response.</t>
    </r>
  </si>
  <si>
    <t>Index</t>
  </si>
  <si>
    <t>Back</t>
  </si>
  <si>
    <r>
      <rPr>
        <b/>
        <sz val="11"/>
        <color theme="9" tint="-0.249977111117893"/>
        <rFont val="Calibri"/>
        <family val="2"/>
        <scheme val="minor"/>
      </rPr>
      <t xml:space="preserve">The server cannot or will not process the request due to something that is perceived to be a client error </t>
    </r>
    <r>
      <rPr>
        <sz val="11"/>
        <color theme="1"/>
        <rFont val="Calibri"/>
        <family val="2"/>
        <scheme val="minor"/>
      </rPr>
      <t>(e.g., malformed request syntax, invalid request message framing, or deceptive request routing).</t>
    </r>
  </si>
  <si>
    <r>
      <t>This response code is</t>
    </r>
    <r>
      <rPr>
        <b/>
        <sz val="11"/>
        <color theme="6" tint="-0.249977111117893"/>
        <rFont val="Calibri"/>
        <family val="2"/>
        <scheme val="minor"/>
      </rPr>
      <t xml:space="preserve"> </t>
    </r>
    <r>
      <rPr>
        <b/>
        <sz val="11"/>
        <color theme="9" tint="-0.249977111117893"/>
        <rFont val="Calibri"/>
        <family val="2"/>
        <scheme val="minor"/>
      </rPr>
      <t>reserved for future use</t>
    </r>
    <r>
      <rPr>
        <sz val="11"/>
        <color theme="1"/>
        <rFont val="Calibri"/>
        <family val="2"/>
        <scheme val="minor"/>
      </rPr>
      <t xml:space="preserve">. The initial aim for creating this code was using it </t>
    </r>
    <r>
      <rPr>
        <b/>
        <sz val="11"/>
        <color theme="9" tint="-0.249977111117893"/>
        <rFont val="Calibri"/>
        <family val="2"/>
        <scheme val="minor"/>
      </rPr>
      <t>for digital payment systems</t>
    </r>
    <r>
      <rPr>
        <sz val="11"/>
        <color theme="1"/>
        <rFont val="Calibri"/>
        <family val="2"/>
        <scheme val="minor"/>
      </rPr>
      <t>, however this status code is used very rarely and no standard convention exists.</t>
    </r>
  </si>
  <si>
    <r>
      <rPr>
        <b/>
        <sz val="11"/>
        <color rgb="FFFF0000"/>
        <rFont val="Calibri"/>
        <family val="2"/>
        <scheme val="minor"/>
      </rPr>
      <t xml:space="preserve">The request method is known by the server but is not supported by the target resource. </t>
    </r>
    <r>
      <rPr>
        <sz val="11"/>
        <color theme="1"/>
        <rFont val="Calibri"/>
        <family val="2"/>
        <scheme val="minor"/>
      </rPr>
      <t>For example, an API may not allow calling DELETE to remove a resource.</t>
    </r>
  </si>
  <si>
    <r>
      <t xml:space="preserve">This response is sent when </t>
    </r>
    <r>
      <rPr>
        <b/>
        <sz val="11"/>
        <color theme="9" tint="-0.249977111117893"/>
        <rFont val="Calibri"/>
        <family val="2"/>
        <scheme val="minor"/>
      </rPr>
      <t>the web server</t>
    </r>
    <r>
      <rPr>
        <sz val="11"/>
        <color theme="1"/>
        <rFont val="Calibri"/>
        <family val="2"/>
        <scheme val="minor"/>
      </rPr>
      <t xml:space="preserve">, after performing server-driven content negotiation, </t>
    </r>
    <r>
      <rPr>
        <b/>
        <sz val="11"/>
        <color theme="9" tint="-0.249977111117893"/>
        <rFont val="Calibri"/>
        <family val="2"/>
        <scheme val="minor"/>
      </rPr>
      <t>doesn't find any content that conforms to the criteria given by the user agent</t>
    </r>
    <r>
      <rPr>
        <sz val="11"/>
        <color theme="1"/>
        <rFont val="Calibri"/>
        <family val="2"/>
        <scheme val="minor"/>
      </rPr>
      <t>.</t>
    </r>
  </si>
  <si>
    <t>1. Right-click on the project</t>
  </si>
  <si>
    <t xml:space="preserve">    Create a file with the extension: *.feature</t>
  </si>
  <si>
    <t xml:space="preserve">    Click on 'Configure &gt; Convert to Cucumber project'</t>
  </si>
  <si>
    <t xml:space="preserve">    Create a java class for the corresponding Steps of the feature </t>
  </si>
  <si>
    <t>To execute once before the framework is executed</t>
  </si>
  <si>
    <r>
      <t xml:space="preserve">And user enters the </t>
    </r>
    <r>
      <rPr>
        <b/>
        <sz val="11"/>
        <color rgb="FF339966"/>
        <rFont val="Calibri"/>
        <family val="2"/>
        <scheme val="minor"/>
      </rPr>
      <t>"&lt;userName&gt;"</t>
    </r>
    <r>
      <rPr>
        <sz val="11"/>
        <color theme="1"/>
        <rFont val="Calibri"/>
        <family val="2"/>
        <scheme val="minor"/>
      </rPr>
      <t xml:space="preserve"> Username</t>
    </r>
  </si>
  <si>
    <r>
      <t xml:space="preserve">
 public void user_enters_the_username(</t>
    </r>
    <r>
      <rPr>
        <b/>
        <sz val="11"/>
        <color rgb="FF339966"/>
        <rFont val="Calibri"/>
        <family val="2"/>
        <scheme val="minor"/>
      </rPr>
      <t>String userName</t>
    </r>
    <r>
      <rPr>
        <sz val="11"/>
        <color theme="1"/>
        <rFont val="Calibri"/>
        <family val="2"/>
        <scheme val="minor"/>
      </rPr>
      <t>){
}</t>
    </r>
  </si>
  <si>
    <t>1. Act between presales and delivery team. Working on RFPs. Connecting with all the teams for identifying problems and provide feedback</t>
  </si>
  <si>
    <t>RFP: Request for Proposals</t>
  </si>
  <si>
    <t xml:space="preserve">RFP Components: </t>
  </si>
  <si>
    <t>life-cycle including the maintenance costs and post-launch support.</t>
  </si>
  <si>
    <t>Can include a checklist and scoring system for transparency, guidance for submission and assessments</t>
  </si>
  <si>
    <t>completion of the project</t>
  </si>
  <si>
    <t>2. Technical assessment (Functional knowledge, POC, RFP, propose solution - what would be RoI):</t>
  </si>
  <si>
    <t>POC:</t>
  </si>
  <si>
    <t>Software Development Proposal:</t>
  </si>
  <si>
    <t>the Pricing Information, as well as the Project Objectives, Scope of the Work, Timeline, Budget, and Expected Outcome.</t>
  </si>
  <si>
    <t xml:space="preserve">The main goal of the Software Development Proposal is to convince the client that your company is the best-fit for their project, and that </t>
  </si>
  <si>
    <t>How to write a SDP:</t>
  </si>
  <si>
    <t>Identify your customer's needs.</t>
  </si>
  <si>
    <t>Get a SDP template, but personalize your solution for the client.</t>
  </si>
  <si>
    <t>Highlight your Unique Selling Points (USPs)</t>
  </si>
  <si>
    <t>Outline the project scope and deliverables</t>
  </si>
  <si>
    <t>Provide a detailed budget and pricing information</t>
  </si>
  <si>
    <t>Provide a detailed timeline</t>
  </si>
  <si>
    <t>Include Case Studies or Testimonials for your company.</t>
  </si>
  <si>
    <t>To make it more impressive:</t>
  </si>
  <si>
    <t>For a tech-savvy client, use the industry-specific vocabulary and highlight how your approach aligns with their needs</t>
  </si>
  <si>
    <t>For a non-technical NGO, highlight only how your solution will help them, and avoid technical jargon</t>
  </si>
  <si>
    <t>Any information that might affect your client must be presented to them.</t>
  </si>
  <si>
    <t>Types:</t>
  </si>
  <si>
    <t xml:space="preserve">1. Enterprise Proposal: </t>
  </si>
  <si>
    <t>Done for the large companies.</t>
  </si>
  <si>
    <t>The code is handed over to the client and the vendor charges only for the software development and maintenance efforts</t>
  </si>
  <si>
    <t xml:space="preserve">2. SaaS proposal. </t>
  </si>
  <si>
    <t>Done for the individuals or small companies/ startups</t>
  </si>
  <si>
    <t>Includes only the service terms and subscription policies, plus can involve a software demo</t>
  </si>
  <si>
    <t>Things to include:</t>
  </si>
  <si>
    <t>RoI:</t>
  </si>
  <si>
    <t>Test Efforts Estimation:</t>
  </si>
  <si>
    <t>Factors to consider while estimating:</t>
  </si>
  <si>
    <t>Time Required</t>
  </si>
  <si>
    <t>Cost Required</t>
  </si>
  <si>
    <t>Team Size required</t>
  </si>
  <si>
    <t>Skills of the Team Members</t>
  </si>
  <si>
    <t>Estimation Techniques:</t>
  </si>
  <si>
    <t>Work Breakdown Strategy (WBS):</t>
  </si>
  <si>
    <t>Function Point Estimation:</t>
  </si>
  <si>
    <t>Each sub-module is assigned function points based on their complexity</t>
  </si>
  <si>
    <t>Standard Deviation (SD) = (W - B)/6</t>
  </si>
  <si>
    <t>Final Efforts = E +- SD</t>
  </si>
  <si>
    <t>Wideband Delphi:</t>
  </si>
  <si>
    <t>A group of experts meet together to discuss the estimates until they reach consensus</t>
  </si>
  <si>
    <t>Use-Case Methodology:</t>
  </si>
  <si>
    <t>The module is analyzed as a use-case (User-system Interaction). Efforts are estimated based on it</t>
  </si>
  <si>
    <t>Percentage Distribution:</t>
  </si>
  <si>
    <t>what percentage of efforts are required for each module</t>
  </si>
  <si>
    <t>Automation Test Efforts Etimation:</t>
  </si>
  <si>
    <t>The Test Case Points (TCP) for each testcase are counted for the following:</t>
  </si>
  <si>
    <t xml:space="preserve">None: </t>
  </si>
  <si>
    <t xml:space="preserve">Low: </t>
  </si>
  <si>
    <t xml:space="preserve">High: </t>
  </si>
  <si>
    <t>None:</t>
  </si>
  <si>
    <t>Unadjusted TCP (UTCP) = C + P + TD</t>
  </si>
  <si>
    <t>Automation Scripting Adjustment:</t>
  </si>
  <si>
    <t>Automated Scripts are divided into two contrasting categories: Developed for Reuse (DR) and Reused Existing (RE)</t>
  </si>
  <si>
    <t>Adjustment points:</t>
  </si>
  <si>
    <t>Developed for Reuse (DR)</t>
  </si>
  <si>
    <t>Reused Existing:</t>
  </si>
  <si>
    <t>Low:</t>
  </si>
  <si>
    <t>Medium:</t>
  </si>
  <si>
    <t>High:</t>
  </si>
  <si>
    <t>Extra High:</t>
  </si>
  <si>
    <t>Adjusted TCP for each case = UTCP + (DR - RE)*UTCP</t>
  </si>
  <si>
    <t>Also the following factors should be considered:</t>
  </si>
  <si>
    <t>Capability and Experience of the Testing Team</t>
  </si>
  <si>
    <t>Expertise with the tools to be used</t>
  </si>
  <si>
    <t>System Under Test</t>
  </si>
  <si>
    <t>Type of Test (Desktop, Web, API, Mobile)</t>
  </si>
  <si>
    <t>3. Transformation programme</t>
  </si>
  <si>
    <t>4. Conducting testing organization assessment</t>
  </si>
  <si>
    <t>5. Test Plan:</t>
  </si>
  <si>
    <t>6. Test Strategy:</t>
  </si>
  <si>
    <t>Test Automation Pyramid:</t>
  </si>
  <si>
    <t>Shift Left Approach:</t>
  </si>
  <si>
    <t>Non-regression automated tests:</t>
  </si>
  <si>
    <t>In-Sprint Automation:</t>
  </si>
  <si>
    <t>6. Automation Framework</t>
  </si>
  <si>
    <t>7. Capability to handle clients</t>
  </si>
  <si>
    <t>8. Identification of tools withing organization</t>
  </si>
  <si>
    <t>9. Preparation of decks (Automation point of view)</t>
  </si>
  <si>
    <t>10. Individual Contributor - Consultant role</t>
  </si>
  <si>
    <t>11. Hands-on experience in terms of technical capability to provide at least skeletal solution</t>
  </si>
  <si>
    <t>For LCON:</t>
  </si>
  <si>
    <t>1. End-to-end knowledge of automation</t>
  </si>
  <si>
    <t>2. Experience in automation tools</t>
  </si>
  <si>
    <t>Test Plan is a detailed document outlining:</t>
  </si>
  <si>
    <t>Objective</t>
  </si>
  <si>
    <t>Strategy</t>
  </si>
  <si>
    <t>Timeline</t>
  </si>
  <si>
    <t>Goals</t>
  </si>
  <si>
    <t>Estimations</t>
  </si>
  <si>
    <t>Deadlines</t>
  </si>
  <si>
    <t>Resources</t>
  </si>
  <si>
    <t>Test Strategy is a high-level document outlining:</t>
  </si>
  <si>
    <t>Approach</t>
  </si>
  <si>
    <t>Scope</t>
  </si>
  <si>
    <t>Method</t>
  </si>
  <si>
    <t>Test Plan is required because</t>
  </si>
  <si>
    <t>Catches defects early in the Test Cycle</t>
  </si>
  <si>
    <t>Better management of tools, resources and time</t>
  </si>
  <si>
    <t>Improves quality</t>
  </si>
  <si>
    <t>Faster time to market</t>
  </si>
  <si>
    <t>Mitigate Risk</t>
  </si>
  <si>
    <t>Test Plan Components</t>
  </si>
  <si>
    <t>Schedule</t>
  </si>
  <si>
    <t>Environment</t>
  </si>
  <si>
    <t>Tools</t>
  </si>
  <si>
    <t>Defet Management</t>
  </si>
  <si>
    <t>Risk Management</t>
  </si>
  <si>
    <t>Exit Criteria</t>
  </si>
  <si>
    <t>States the goals of a specific project</t>
  </si>
  <si>
    <t>Mentions the scenarios and/or components that will not be tested</t>
  </si>
  <si>
    <t>Provides information about the scenarios/components to be tested</t>
  </si>
  <si>
    <t>States the Start Date and Deadline for different components</t>
  </si>
  <si>
    <t>Resource Allocation</t>
  </si>
  <si>
    <t>Allocation of specific tests/scenarios to individual testers</t>
  </si>
  <si>
    <t>Characteristics, Set up and Accessibility of the test environment</t>
  </si>
  <si>
    <t>Tools required for Test Management</t>
  </si>
  <si>
    <t>Reporting Bugs</t>
  </si>
  <si>
    <t>Procedure for reporting bugs</t>
  </si>
  <si>
    <t>States the required accompaniments, like Screenshot/Video, Page Link, Steps etc.</t>
  </si>
  <si>
    <t>Designates the recipients</t>
  </si>
  <si>
    <t>Potential risk that could arise while testing</t>
  </si>
  <si>
    <t>Risk that the product could face if testing is insufficient</t>
  </si>
  <si>
    <t>Criteria for stopping testing</t>
  </si>
  <si>
    <t>Expected outcome against which the actual results are measured</t>
  </si>
  <si>
    <t>Avoids scope creep</t>
  </si>
  <si>
    <t>Testing Methodology</t>
  </si>
  <si>
    <t>What methods to use for testing</t>
  </si>
  <si>
    <t>Roles and responsibilities allocation</t>
  </si>
  <si>
    <t>Entry Criteria</t>
  </si>
  <si>
    <t>Criteria to start testing</t>
  </si>
  <si>
    <t>Necessary software and hardware tools</t>
  </si>
  <si>
    <t>Test Data</t>
  </si>
  <si>
    <t>Efforts Estimation</t>
  </si>
  <si>
    <t>Type of Test Plan</t>
  </si>
  <si>
    <t>Master Test Plan</t>
  </si>
  <si>
    <t>Multiple Test Strategies</t>
  </si>
  <si>
    <t>Multiple levels of testing</t>
  </si>
  <si>
    <t>Goes to great depth for planning and managing testing activities at various levels</t>
  </si>
  <si>
    <t>List of tests that must be executed</t>
  </si>
  <si>
    <t>Connection between various test levels</t>
  </si>
  <si>
    <t>Phase Test Plan</t>
  </si>
  <si>
    <t>Plans for only a certain phase of project</t>
  </si>
  <si>
    <t>Has more information regarding one or a few of the levels mentioned in the Master Test Plan</t>
  </si>
  <si>
    <t>e.g .Testing Schedule, Benchmarks, Activity Templates etc.</t>
  </si>
  <si>
    <t>Specific Test Plan</t>
  </si>
  <si>
    <t xml:space="preserve">Test Plan for a few specific activities, especially non-functional activities </t>
  </si>
  <si>
    <t>e.g. Performance Testing, Load Testing, Security Testing etc.</t>
  </si>
  <si>
    <t>How to create Test Plan</t>
  </si>
  <si>
    <t>Analyze the product</t>
  </si>
  <si>
    <t>Define Test Strategy</t>
  </si>
  <si>
    <t>Define Test Objective</t>
  </si>
  <si>
    <t>Define Test Criteria</t>
  </si>
  <si>
    <t>Suspension Criteria</t>
  </si>
  <si>
    <t>Plan Resources</t>
  </si>
  <si>
    <t>Plan the Test Environments</t>
  </si>
  <si>
    <t>Schedules and Estimations</t>
  </si>
  <si>
    <t>Determine Test Deliverables</t>
  </si>
  <si>
    <t>which can be used in the Software Development Lifecycle (SDLC)</t>
  </si>
  <si>
    <t>Test Stragety defines the approach to the Software Testing Lifecycle (STLC)</t>
  </si>
  <si>
    <t>i.e. It documents the process for product evaluation</t>
  </si>
  <si>
    <t>Components</t>
  </si>
  <si>
    <t>Environments</t>
  </si>
  <si>
    <t>Methodology</t>
  </si>
  <si>
    <t>Release Control</t>
  </si>
  <si>
    <t>Risk Analysis</t>
  </si>
  <si>
    <t>Review and Approval</t>
  </si>
  <si>
    <t>Types of Test Strategies</t>
  </si>
  <si>
    <t>Analytical Strategy</t>
  </si>
  <si>
    <t>Model-Based</t>
  </si>
  <si>
    <t>Methodical</t>
  </si>
  <si>
    <t>Standards or Process-Compliant</t>
  </si>
  <si>
    <t>Reactive</t>
  </si>
  <si>
    <t>Consultative</t>
  </si>
  <si>
    <t>Regression-Averse</t>
  </si>
  <si>
    <t>Difference Between Test Plan and Test Strategy</t>
  </si>
  <si>
    <t>Aspect</t>
  </si>
  <si>
    <t>Test Strategy</t>
  </si>
  <si>
    <t>Test Plan</t>
  </si>
  <si>
    <t>Definition</t>
  </si>
  <si>
    <t>Purpose</t>
  </si>
  <si>
    <t>Level of Detail</t>
  </si>
  <si>
    <t>High-level, focusing on overall methodologies, standards, and tools to be used.</t>
  </si>
  <si>
    <t>Detailed, including specific test cases, environments, schedules, and resources.</t>
  </si>
  <si>
    <t>Responsibility</t>
  </si>
  <si>
    <t>More dynamic, updated regularly to reflect changes in project scope, requirements, and timelines.</t>
  </si>
  <si>
    <t>Audience</t>
  </si>
  <si>
    <t>Examples</t>
  </si>
  <si>
    <t>Describes the use of automated testing tools, defect tracking processes, and overall testing standards.</t>
  </si>
  <si>
    <t>Outlines specific test cases, test environments, and test data requirements for a particular application.</t>
  </si>
  <si>
    <t>Focus</t>
  </si>
  <si>
    <t>Timeframe</t>
  </si>
  <si>
    <t>Long-term, spanning multiple projects and releases.</t>
  </si>
  <si>
    <t>Short-term, aligned with the project lifecycle and specific release schedules.</t>
  </si>
  <si>
    <t>Updates</t>
  </si>
  <si>
    <t xml:space="preserve">
                |E2E Tests|
            |    UI Tests        |    
       |        API Tests            |    
  |            Unit Tests                |  </t>
  </si>
  <si>
    <t>Why Test Automation Strategy is required</t>
  </si>
  <si>
    <t>Without it, the team can suffer following consequences</t>
  </si>
  <si>
    <t>Lack of Vision</t>
  </si>
  <si>
    <t>Loss of Business Value</t>
  </si>
  <si>
    <t>Wrong Technology</t>
  </si>
  <si>
    <t>Missing Risk Analysis</t>
  </si>
  <si>
    <t>How to create Test Automatin Strategy</t>
  </si>
  <si>
    <t>Define Goals</t>
  </si>
  <si>
    <t>Long-Term and Short-Term goals regarding Test Automation</t>
  </si>
  <si>
    <t>Why are we considering test automation for this project</t>
  </si>
  <si>
    <t>The expected business value from automation or ROI</t>
  </si>
  <si>
    <t>The scope of automation</t>
  </si>
  <si>
    <t>A high-level procedure to deliver the automation</t>
  </si>
  <si>
    <t>The planned percentage of automation (In a gradual manner ex: quarter wise)</t>
  </si>
  <si>
    <t>The end goal of automation</t>
  </si>
  <si>
    <t>Test Approach Planning</t>
  </si>
  <si>
    <t>Plan tests as per the test pyramid</t>
  </si>
  <si>
    <t>Most Unit Tests</t>
  </si>
  <si>
    <t>Less than that, API and Integration Tests</t>
  </si>
  <si>
    <t>Less than that, the UI Tests</t>
  </si>
  <si>
    <t>Minimum End-to-End tests / Acceptance Tests</t>
  </si>
  <si>
    <t>Choose a Framework</t>
  </si>
  <si>
    <t>Data-Driven</t>
  </si>
  <si>
    <t>Keyword-Driven</t>
  </si>
  <si>
    <t>Page Object model</t>
  </si>
  <si>
    <t>BDD (Cucumber / Specflow / Jbehave)</t>
  </si>
  <si>
    <t>Hybrid</t>
  </si>
  <si>
    <t>Linear Automation (Record and Playback)</t>
  </si>
  <si>
    <t>Module-Driven</t>
  </si>
  <si>
    <t>Library Architecture Framework</t>
  </si>
  <si>
    <t>Evaluate and choose the tools</t>
  </si>
  <si>
    <t>While evaluating a testing tool, you must consider  multiple things, such as</t>
  </si>
  <si>
    <t>The scope of the test automation tool</t>
  </si>
  <si>
    <t>Expected functionality from the test automation tool</t>
  </si>
  <si>
    <t>Supported platforms/browsers</t>
  </si>
  <si>
    <t>Need to evaluate if it fits your domain</t>
  </si>
  <si>
    <t>Cost</t>
  </si>
  <si>
    <t>The programming language support</t>
  </si>
  <si>
    <t>Community support and documentation</t>
  </si>
  <si>
    <t>Learning involved </t>
  </si>
  <si>
    <t>Test Automation Environment</t>
  </si>
  <si>
    <t>where the test data will be stored</t>
  </si>
  <si>
    <t>where the automation execution takes place</t>
  </si>
  <si>
    <t xml:space="preserve"> how the report will be stored and shared</t>
  </si>
  <si>
    <t xml:space="preserve"> how long the old report will be stored </t>
  </si>
  <si>
    <t>Automation Team Working Strategy</t>
  </si>
  <si>
    <t>Team members’ roles and responsibilities, who will be heading, point of contact, etc.</t>
  </si>
  <si>
    <t>When test cases are automated, for example, same sprint or sprint – 1</t>
  </si>
  <si>
    <t>How the testing members are divided, some follows a separate automation team, some combine manual and automation testers, and some organization follows the scrum team, where dedicated automation members for each team.</t>
  </si>
  <si>
    <t>which environment the application under test will be used 
for validation, such as dev, staging, production, or all of these, etc.</t>
  </si>
  <si>
    <t>Learning Goals</t>
  </si>
  <si>
    <t>Create, Execute and Maintain Tests</t>
  </si>
  <si>
    <t>Start creating the automation scripts. </t>
  </si>
  <si>
    <t>Decide upon what can be automated and what cannot.</t>
  </si>
  <si>
    <t>Start with the most critical features and quick wins.</t>
  </si>
  <si>
    <t>Execution Plans and DevOps Integration</t>
  </si>
  <si>
    <t>Consider creating test suites like smoke, regression, sanity, etc.</t>
  </si>
  <si>
    <t>Define execution strategy; for example – smoke needs to run every day, regression twice a week, etc.</t>
  </si>
  <si>
    <t>Have a feature-wise test suite; whenever there are feature changes, there is no need to execute the whole regression suite; one can just execute only the required test suites.</t>
  </si>
  <si>
    <t>Consider DevOps integration which makes testers’ and developers’ jobs easier.</t>
  </si>
  <si>
    <t>The DevOps integration also reduces the dependency of the testing team; anybody can execute and get the report.</t>
  </si>
  <si>
    <t>Reporting</t>
  </si>
  <si>
    <t>The reporting should not contain any technical details as it may confuse the stakeholders. </t>
  </si>
  <si>
    <t>The report must have numbers of total test cases, passed, failed, etc. </t>
  </si>
  <si>
    <t>Consider having graphs, trends, etc., to make the report more attractive. </t>
  </si>
  <si>
    <t>The report must be clearly understandable for any non-technical person</t>
  </si>
  <si>
    <t>You must define a strategy around report sharing, like recipients, when to share and how often, etc.</t>
  </si>
  <si>
    <t>Store a report in a commonplace; one should be able to access it anytime when needed.</t>
  </si>
  <si>
    <t>Review, Analyze and  Retrospect</t>
  </si>
  <si>
    <r>
      <t xml:space="preserve">your solution will meet their specific needs. It serves as the </t>
    </r>
    <r>
      <rPr>
        <b/>
        <sz val="11"/>
        <color rgb="FFFF0000"/>
        <rFont val="Calibri"/>
        <family val="2"/>
        <scheme val="minor"/>
      </rPr>
      <t>roadmap for development process</t>
    </r>
    <r>
      <rPr>
        <sz val="11"/>
        <color theme="1"/>
        <rFont val="Calibri"/>
        <family val="2"/>
        <scheme val="minor"/>
      </rPr>
      <t xml:space="preserve"> and as</t>
    </r>
    <r>
      <rPr>
        <b/>
        <sz val="11"/>
        <color rgb="FFFF0000"/>
        <rFont val="Calibri"/>
        <family val="2"/>
        <scheme val="minor"/>
      </rPr>
      <t xml:space="preserve"> the starting point for the sales negotiation.</t>
    </r>
  </si>
  <si>
    <r>
      <t xml:space="preserve">1. Quote someone from the client's buting committee. It highlights </t>
    </r>
    <r>
      <rPr>
        <b/>
        <sz val="11"/>
        <color rgb="FFFF0000"/>
        <rFont val="Calibri"/>
        <family val="2"/>
        <scheme val="minor"/>
      </rPr>
      <t>the personal bond</t>
    </r>
    <r>
      <rPr>
        <sz val="11"/>
        <color theme="1"/>
        <rFont val="Calibri"/>
        <family val="2"/>
        <scheme val="minor"/>
      </rPr>
      <t xml:space="preserve"> that you have formed with them</t>
    </r>
  </si>
  <si>
    <r>
      <t xml:space="preserve">2. Tailor your proposal to address the smallest details, including </t>
    </r>
    <r>
      <rPr>
        <b/>
        <sz val="11"/>
        <color rgb="FFFF0000"/>
        <rFont val="Calibri"/>
        <family val="2"/>
        <scheme val="minor"/>
      </rPr>
      <t xml:space="preserve">design, tone, language, and overall structure. </t>
    </r>
  </si>
  <si>
    <r>
      <t>3.</t>
    </r>
    <r>
      <rPr>
        <b/>
        <sz val="11"/>
        <color rgb="FFFF0000"/>
        <rFont val="Calibri"/>
        <family val="2"/>
        <scheme val="minor"/>
      </rPr>
      <t xml:space="preserve"> Include all your Terms and Conditions</t>
    </r>
    <r>
      <rPr>
        <sz val="11"/>
        <color theme="1"/>
        <rFont val="Calibri"/>
        <family val="2"/>
        <scheme val="minor"/>
      </rPr>
      <t xml:space="preserve">, including the fees, payment schedules, deliverables, functionalities, and cancellation policies - </t>
    </r>
  </si>
  <si>
    <r>
      <t>4</t>
    </r>
    <r>
      <rPr>
        <b/>
        <sz val="11"/>
        <color rgb="FFFF0000"/>
        <rFont val="Calibri"/>
        <family val="2"/>
        <scheme val="minor"/>
      </rPr>
      <t xml:space="preserve">. Connect with the client regularly </t>
    </r>
    <r>
      <rPr>
        <sz val="11"/>
        <color theme="1"/>
        <rFont val="Calibri"/>
        <family val="2"/>
        <scheme val="minor"/>
      </rPr>
      <t>to see how much your proposal has progressed in the client's approval process</t>
    </r>
  </si>
  <si>
    <t>Work is broken down in Modules and Sub-Modules for estimation</t>
  </si>
  <si>
    <t xml:space="preserve">Three-Point Estimation: </t>
  </si>
  <si>
    <t>Calculate efforts required based on Best condition (B), Worst Condition (W) and Normal condition (N).</t>
  </si>
  <si>
    <r>
      <t xml:space="preserve">Formula: </t>
    </r>
    <r>
      <rPr>
        <b/>
        <sz val="11"/>
        <color rgb="FFFF0000"/>
        <rFont val="Calibri"/>
        <family val="2"/>
        <scheme val="minor"/>
      </rPr>
      <t>Efforts (E) = (B + 4*N + W)/6</t>
    </r>
  </si>
  <si>
    <t xml:space="preserve">Ad-Hoc Testing: </t>
  </si>
  <si>
    <t>No testcases, no documentation. Just a tester or a pair/group of testers testing the application and recording their findings</t>
  </si>
  <si>
    <r>
      <rPr>
        <b/>
        <sz val="12"/>
        <color rgb="FFFF0000"/>
        <rFont val="Calibri"/>
        <family val="2"/>
        <scheme val="minor"/>
      </rPr>
      <t>A high-level document</t>
    </r>
    <r>
      <rPr>
        <sz val="12"/>
        <color theme="1"/>
        <rFont val="Calibri"/>
        <family val="2"/>
        <scheme val="minor"/>
      </rPr>
      <t xml:space="preserve"> outlining the overall testing approach and goals.</t>
    </r>
  </si>
  <si>
    <r>
      <rPr>
        <b/>
        <sz val="12"/>
        <color rgb="FFFF0000"/>
        <rFont val="Calibri"/>
        <family val="2"/>
        <scheme val="minor"/>
      </rPr>
      <t xml:space="preserve">A detailed document </t>
    </r>
    <r>
      <rPr>
        <sz val="12"/>
        <color theme="1"/>
        <rFont val="Calibri"/>
        <family val="2"/>
        <scheme val="minor"/>
      </rPr>
      <t>that describes the specific testing activities, resources, schedule, and scope for a particular project.</t>
    </r>
  </si>
  <si>
    <r>
      <rPr>
        <b/>
        <sz val="12"/>
        <color rgb="FFFF0000"/>
        <rFont val="Calibri"/>
        <family val="2"/>
        <scheme val="minor"/>
      </rPr>
      <t>More static and less frequently updated</t>
    </r>
    <r>
      <rPr>
        <sz val="12"/>
        <color theme="1"/>
        <rFont val="Calibri"/>
        <family val="2"/>
        <scheme val="minor"/>
      </rPr>
      <t>, serving as a long-term guide.</t>
    </r>
  </si>
  <si>
    <r>
      <t xml:space="preserve">Intended for </t>
    </r>
    <r>
      <rPr>
        <b/>
        <sz val="12"/>
        <color theme="9" tint="-0.249977111117893"/>
        <rFont val="Calibri"/>
        <family val="2"/>
        <scheme val="minor"/>
      </rPr>
      <t>stakeholders, project managers, and senior management.</t>
    </r>
  </si>
  <si>
    <r>
      <t xml:space="preserve">Intended for the </t>
    </r>
    <r>
      <rPr>
        <b/>
        <sz val="12"/>
        <color theme="9" tint="-0.249977111117893"/>
        <rFont val="Calibri"/>
        <family val="2"/>
        <scheme val="minor"/>
      </rPr>
      <t>project team, including testers, developers, and project managers.</t>
    </r>
  </si>
  <si>
    <r>
      <rPr>
        <b/>
        <sz val="12"/>
        <color theme="3" tint="-0.249977111117893"/>
        <rFont val="Calibri"/>
        <family val="2"/>
        <scheme val="minor"/>
      </rPr>
      <t>Emphasizes the “what” and “why”</t>
    </r>
    <r>
      <rPr>
        <sz val="12"/>
        <color theme="1"/>
        <rFont val="Calibri"/>
        <family val="2"/>
        <scheme val="minor"/>
      </rPr>
      <t xml:space="preserve"> of testing processes and standards.</t>
    </r>
  </si>
  <si>
    <r>
      <rPr>
        <b/>
        <sz val="12"/>
        <color theme="3" tint="-0.249977111117893"/>
        <rFont val="Calibri"/>
        <family val="2"/>
        <scheme val="minor"/>
      </rPr>
      <t>Emphasizes the “how,” “when,” and “who”</t>
    </r>
    <r>
      <rPr>
        <sz val="12"/>
        <color theme="1"/>
        <rFont val="Calibri"/>
        <family val="2"/>
        <scheme val="minor"/>
      </rPr>
      <t xml:space="preserve"> of the testing activities for a specific project.</t>
    </r>
  </si>
  <si>
    <r>
      <rPr>
        <b/>
        <sz val="12"/>
        <color theme="9" tint="-0.249977111117893"/>
        <rFont val="Calibri"/>
        <family val="2"/>
        <scheme val="minor"/>
      </rPr>
      <t>Less frequent</t>
    </r>
    <r>
      <rPr>
        <sz val="12"/>
        <color theme="1"/>
        <rFont val="Calibri"/>
        <family val="2"/>
        <scheme val="minor"/>
      </rPr>
      <t>, typically reviewed annually or semi-annually.</t>
    </r>
  </si>
  <si>
    <r>
      <rPr>
        <b/>
        <sz val="12"/>
        <color theme="9" tint="-0.249977111117893"/>
        <rFont val="Calibri"/>
        <family val="2"/>
        <scheme val="minor"/>
      </rPr>
      <t>More frequent,</t>
    </r>
    <r>
      <rPr>
        <sz val="12"/>
        <color theme="1"/>
        <rFont val="Calibri"/>
        <family val="2"/>
        <scheme val="minor"/>
      </rPr>
      <t xml:space="preserve"> updated as the project evolves and new requirements emerge.</t>
    </r>
  </si>
  <si>
    <t xml:space="preserve">Checkpoint (C): </t>
  </si>
  <si>
    <t>Each step, that must be verified for the testcase to pass. 1 point for each Checkpoint</t>
  </si>
  <si>
    <t xml:space="preserve">Precondition (P): </t>
  </si>
  <si>
    <t>Need to be met before testcase is executed. Points are per following:</t>
  </si>
  <si>
    <t xml:space="preserve">Test Data (TD): </t>
  </si>
  <si>
    <t>Points are per its reusability</t>
  </si>
  <si>
    <t xml:space="preserve">Medium: </t>
  </si>
  <si>
    <t> Proficient in effort estimation and optimization techniques</t>
  </si>
  <si>
    <t>Test Metrices</t>
  </si>
  <si>
    <t>Base Metrices</t>
  </si>
  <si>
    <t>The number of test cases planned/executed.</t>
  </si>
  <si>
    <t>The number of test cases passed/failed.</t>
  </si>
  <si>
    <t>The number of defects found/fixed – (categorized as critical, high, medium, and low severity).</t>
  </si>
  <si>
    <t>Execution time it took to run these tests.</t>
  </si>
  <si>
    <t>They encompass measurements or data points collected during test case development and execution for tracking your project.</t>
  </si>
  <si>
    <t>Calculated or Derived Metrices</t>
  </si>
  <si>
    <t>Calculated metrics enable us to estimate the effectiveness of the testing process and the quality of the product. QA leads apply specific metric formulas over previously collected base points to get insights into the efficiency of their team as well as the whole development process.</t>
  </si>
  <si>
    <t>Process Metrics</t>
  </si>
  <si>
    <t>Test tracking metrics</t>
  </si>
  <si>
    <t>the percentage of test cases passed/failed. That way, we can estimate the amount of work done/needs to be done.</t>
  </si>
  <si>
    <t>Formula</t>
  </si>
  <si>
    <t>e.g. n the image above, there are a total of 8 features, out of which 5 passed.
Thus, Pass % is (5/8)*100 = 62.5%
Fail % is (3/8)*100 = 37.5%</t>
  </si>
  <si>
    <t>Test Case Execution Productivity</t>
  </si>
  <si>
    <t>estimates the timing of the test cases execution (per hour). Therefore, enabling us to have the information of the team’s bandwidth to perform these tasks.</t>
  </si>
  <si>
    <t>200 test cases, 20 hours total time spent
Thus, team productivity is (200/20) = 10 test cases/hour</t>
  </si>
  <si>
    <t>Test Design Coverage</t>
  </si>
  <si>
    <t>this coverage is used to measure the percentage of requirements or user stories covered by the test cases.</t>
  </si>
  <si>
    <t>Let’s say there are 110 user stories, and only 20 of them are mapped to test cases.
Thus, design coverage is (20/110)*100 = 18%</t>
  </si>
  <si>
    <t>Test Execution Coverage</t>
  </si>
  <si>
    <t>helps to track the progress of test activities by comparing the number of planned and executed tests.</t>
  </si>
  <si>
    <t>Let’s say there are 110 test cases planned at the beginning of the testing process, but only 80 of them were executed before the product’s first release.
Thus, execution coverage is (80/110)*100 = 73%</t>
  </si>
  <si>
    <t>Product Metrics</t>
  </si>
  <si>
    <t>Product metrics, as the name suggests, measure the product effectiveness and are used at later stages of the Software Testing Life Cycle during the defect analysis. It helps us to get a better understanding of software’s behavior under test.</t>
  </si>
  <si>
    <t>Error Discovery</t>
  </si>
  <si>
    <t>shows the effectiveness of the test cases in percentage.</t>
  </si>
  <si>
    <t>Out of 110 test cases executed, there were 14 defects found.
Thus, error discovery % is (14/100)*100 = 13%</t>
  </si>
  <si>
    <t>Mean Time to Detect</t>
  </si>
  <si>
    <t>MTTD, refers to the amount of time it takes for a testing team to detect issues/bugs.</t>
  </si>
  <si>
    <t>4 defects/issues found in 2 hours
Thus, MTTD is (4/2) = 2 defects/hour</t>
  </si>
  <si>
    <t>Defect Density</t>
  </si>
  <si>
    <t>can be referred to as the number of confirmed defects/bugs found per the software size. Software size could be measured by the number of lines of code or the number of requirements or user stories.</t>
  </si>
  <si>
    <t>Defect Severity</t>
  </si>
  <si>
    <t>the defect severity index is used to get an estimate of the overall criticality of the software that needs QA attention. There are various severity levels, each one being assigned a coefficient.</t>
  </si>
  <si>
    <t>Critical defects — Coefficient = 8
High-severity defects — Coefficient = 6
Medium-severity defects — Coefficient = 3
Low-severity defects — Coefficient = 1</t>
  </si>
  <si>
    <t>Test Automation Strategy:</t>
  </si>
  <si>
    <t>Test Automation ROI</t>
  </si>
  <si>
    <t>Things to consider</t>
  </si>
  <si>
    <t>The cost of setting up and maintaining the test automation environment</t>
  </si>
  <si>
    <t>The cost of training and hiring staff</t>
  </si>
  <si>
    <t>Cost of the tools</t>
  </si>
  <si>
    <t>Benefits</t>
  </si>
  <si>
    <t>The time and money saved by automating manual testing,</t>
  </si>
  <si>
    <t>The reduction in the number of defects found in production</t>
  </si>
  <si>
    <t>The increased speed and coverage of testing</t>
  </si>
  <si>
    <t xml:space="preserve">ROI </t>
  </si>
  <si>
    <t>Coding Standards</t>
  </si>
  <si>
    <r>
      <t>Meaningful Naming Conventions</t>
    </r>
    <r>
      <rPr>
        <sz val="11"/>
        <color rgb="FF14142B"/>
        <rFont val="Calibri"/>
        <family val="2"/>
        <scheme val="minor"/>
      </rPr>
      <t>: Name your test methods, variables, and objects with meaningful names to describe their purpose inherently. Avoid using digits in the name of variable names.</t>
    </r>
  </si>
  <si>
    <t>Coding Best Practices</t>
  </si>
  <si>
    <r>
      <t>Consistent Format and Structure</t>
    </r>
    <r>
      <rPr>
        <sz val="11"/>
        <color rgb="FF14142B"/>
        <rFont val="Calibri"/>
        <family val="2"/>
        <scheme val="minor"/>
      </rPr>
      <t>: Maintain a consistent format and structure of the test script code. Use appropriate indentation and spacing to keep the code readable and structured.</t>
    </r>
  </si>
  <si>
    <r>
      <t>Comments and Documentation</t>
    </r>
    <r>
      <rPr>
        <sz val="11"/>
        <color rgb="FF14142B"/>
        <rFont val="Calibri"/>
        <family val="2"/>
        <scheme val="minor"/>
      </rPr>
      <t>: Do not use comments on self-explanatory lines of code. It will make the code more verbose. Use comments to describe the complex logic of code. Maintain updated documentation to explain the purpose and scope of the code clearly.</t>
    </r>
  </si>
  <si>
    <r>
      <t>Restrict the Use of Global Variables:</t>
    </r>
    <r>
      <rPr>
        <sz val="11"/>
        <color rgb="FF14142B"/>
        <rFont val="Calibri"/>
        <family val="2"/>
        <scheme val="minor"/>
      </rPr>
      <t> Use global variables in code when it is extremely necessary.</t>
    </r>
  </si>
  <si>
    <r>
      <t>Use One Identifier for One Purpose:</t>
    </r>
    <r>
      <rPr>
        <sz val="11"/>
        <color rgb="FF14142B"/>
        <rFont val="Calibri"/>
        <family val="2"/>
        <scheme val="minor"/>
      </rPr>
      <t> Do not use one identifier for multiple purposes. This helps reduce confusion for the person maintaining the code later.</t>
    </r>
  </si>
  <si>
    <r>
      <t>Avoid Deep Nesting:</t>
    </r>
    <r>
      <rPr>
        <sz val="11"/>
        <color rgb="FF14142B"/>
        <rFont val="Calibri"/>
        <family val="2"/>
        <scheme val="minor"/>
      </rPr>
      <t> Though nesting helps maintain code readability, too much deep nesting is difficult to understand and increases complexity. Hence, it should be avoided.</t>
    </r>
  </si>
  <si>
    <r>
      <t>Simple Lines of Code:</t>
    </r>
    <r>
      <rPr>
        <sz val="11"/>
        <color rgb="FF14142B"/>
        <rFont val="Calibri"/>
        <family val="2"/>
        <scheme val="minor"/>
      </rPr>
      <t> Use simple functions/methods in the programming. Lengthy and complex functions are difficult to understand and debug. Make sure that one function/method performs one task only.</t>
    </r>
  </si>
  <si>
    <r>
      <t>Use Modularization:</t>
    </r>
    <r>
      <rPr>
        <sz val="11"/>
        <color rgb="FF14142B"/>
        <rFont val="Calibri"/>
        <family val="2"/>
        <scheme val="minor"/>
      </rPr>
      <t> Break down your test scripts into small modules that are reusable and readable.</t>
    </r>
  </si>
  <si>
    <r>
      <t>Data-Driven Testing: </t>
    </r>
    <r>
      <rPr>
        <sz val="11"/>
        <color rgb="FF14142B"/>
        <rFont val="Calibri"/>
        <family val="2"/>
        <scheme val="minor"/>
      </rPr>
      <t>Separate test data from the script logic using data-driven testing. This makes it easier to update test cases without changing the script.</t>
    </r>
  </si>
  <si>
    <r>
      <t>Use Version Control</t>
    </r>
    <r>
      <rPr>
        <sz val="11"/>
        <color rgb="FF14142B"/>
        <rFont val="Calibri"/>
        <family val="2"/>
        <scheme val="minor"/>
      </rPr>
      <t>: Track changes and modifications in your testing framework through version control systems to make it easier to collaborate and identify changes.</t>
    </r>
  </si>
  <si>
    <r>
      <t>Get Code Reviewed</t>
    </r>
    <r>
      <rPr>
        <sz val="11"/>
        <color rgb="FF14142B"/>
        <rFont val="Calibri"/>
        <family val="2"/>
        <scheme val="minor"/>
      </rPr>
      <t>: Use peer reviews and code reviews to check that the code follows the standards and best practices.</t>
    </r>
  </si>
  <si>
    <r>
      <t xml:space="preserve">Automate and Automate More: </t>
    </r>
    <r>
      <rPr>
        <sz val="11"/>
        <color rgb="FF14142B"/>
        <rFont val="Calibri"/>
        <family val="2"/>
        <scheme val="minor"/>
      </rPr>
      <t>Repetitive tasks should be automated to reduce the time and effort elapsed in running those. Know which tests you should automate first.</t>
    </r>
  </si>
  <si>
    <r>
      <t>Use Error Handling: </t>
    </r>
    <r>
      <rPr>
        <sz val="11"/>
        <color rgb="FF14142B"/>
        <rFont val="Calibri"/>
        <family val="2"/>
        <scheme val="minor"/>
      </rPr>
      <t>Use good error/exception handling and reporting mechanisms. This helps quickly identify the root cause of failures and provides graceful messaging in case of failures.</t>
    </r>
  </si>
  <si>
    <r>
      <t xml:space="preserve">WebDriver </t>
    </r>
    <r>
      <rPr>
        <b/>
        <sz val="11"/>
        <color theme="6" tint="-0.249977111117893"/>
        <rFont val="Calibri"/>
        <family val="2"/>
        <scheme val="minor"/>
      </rPr>
      <t>webDriver</t>
    </r>
    <r>
      <rPr>
        <sz val="11"/>
        <color theme="1"/>
        <rFont val="Calibri"/>
        <family val="2"/>
        <scheme val="minor"/>
      </rPr>
      <t xml:space="preserve"> = new ChromeDriver();
EventFiringWebDriver </t>
    </r>
    <r>
      <rPr>
        <b/>
        <sz val="11"/>
        <color rgb="FFFF0000"/>
        <rFont val="Calibri"/>
        <family val="2"/>
        <scheme val="minor"/>
      </rPr>
      <t>driver</t>
    </r>
    <r>
      <rPr>
        <sz val="11"/>
        <color theme="1"/>
        <rFont val="Calibri"/>
        <family val="2"/>
        <scheme val="minor"/>
      </rPr>
      <t xml:space="preserve"> = new EventFiringWebDriver(</t>
    </r>
    <r>
      <rPr>
        <b/>
        <sz val="11"/>
        <color theme="6" tint="-0.249977111117893"/>
        <rFont val="Calibri"/>
        <family val="2"/>
        <scheme val="minor"/>
      </rPr>
      <t>webDriver</t>
    </r>
    <r>
      <rPr>
        <sz val="11"/>
        <color theme="1"/>
        <rFont val="Calibri"/>
        <family val="2"/>
        <scheme val="minor"/>
      </rPr>
      <t xml:space="preserve">);
WebListeners </t>
    </r>
    <r>
      <rPr>
        <b/>
        <sz val="11"/>
        <color theme="9" tint="-0.249977111117893"/>
        <rFont val="Calibri"/>
        <family val="2"/>
        <scheme val="minor"/>
      </rPr>
      <t>listener</t>
    </r>
    <r>
      <rPr>
        <sz val="11"/>
        <color theme="1"/>
        <rFont val="Calibri"/>
        <family val="2"/>
        <scheme val="minor"/>
      </rPr>
      <t xml:space="preserve"> = new WebListeners();
</t>
    </r>
    <r>
      <rPr>
        <b/>
        <sz val="11"/>
        <color rgb="FFFF0000"/>
        <rFont val="Calibri"/>
        <family val="2"/>
        <scheme val="minor"/>
      </rPr>
      <t>driver</t>
    </r>
    <r>
      <rPr>
        <sz val="11"/>
        <color theme="1"/>
        <rFont val="Calibri"/>
        <family val="2"/>
        <scheme val="minor"/>
      </rPr>
      <t>.register(</t>
    </r>
    <r>
      <rPr>
        <b/>
        <sz val="11"/>
        <color theme="9" tint="-0.249977111117893"/>
        <rFont val="Calibri"/>
        <family val="2"/>
        <scheme val="minor"/>
      </rPr>
      <t>listener</t>
    </r>
    <r>
      <rPr>
        <sz val="11"/>
        <color theme="1"/>
        <rFont val="Calibri"/>
        <family val="2"/>
        <scheme val="minor"/>
      </rPr>
      <t>);</t>
    </r>
  </si>
  <si>
    <t xml:space="preserve">Company Description: </t>
  </si>
  <si>
    <t>Your company's description. Concise yet Impressive</t>
  </si>
  <si>
    <t>Project Description:</t>
  </si>
  <si>
    <t xml:space="preserve"> Overview of the project including the scope, goals, and requirements.</t>
  </si>
  <si>
    <t xml:space="preserve">Scope: </t>
  </si>
  <si>
    <t xml:space="preserve">Give the big picture of the project development process, and their roles in the project. 
Also describe the scope of the project and outline the key tasks. </t>
  </si>
  <si>
    <t xml:space="preserve">Goal: </t>
  </si>
  <si>
    <t xml:space="preserve">Project Requirements: </t>
  </si>
  <si>
    <t>Budget Limit:</t>
  </si>
  <si>
    <t xml:space="preserve"> Budget range. Estimated Development Cost, Pricing Range, and Payment Terms. The budget should cover the entire project </t>
  </si>
  <si>
    <t xml:space="preserve">Bidding Structure: </t>
  </si>
  <si>
    <t>How the vendors should submit the bids and how will you eveluate them.</t>
  </si>
  <si>
    <t xml:space="preserve">Timeline: </t>
  </si>
  <si>
    <t xml:space="preserve">Should include the RFP Response date, interview dates for shortlisted vendors, the final selection date, and the date for </t>
  </si>
  <si>
    <t xml:space="preserve">Contact Point: </t>
  </si>
  <si>
    <t>You contact information including the business mail, contact number, link, and feedback form.</t>
  </si>
  <si>
    <t xml:space="preserve">1. Introduction of the company: </t>
  </si>
  <si>
    <t>What are we, what we do.</t>
  </si>
  <si>
    <t xml:space="preserve">2. Projecrt Overview: </t>
  </si>
  <si>
    <t>Project goals. How does your solution aligns with the client's objectives.</t>
  </si>
  <si>
    <t>3. Scope:</t>
  </si>
  <si>
    <t xml:space="preserve"> Details of the project's features and functionalities. Also what is out of scope</t>
  </si>
  <si>
    <t xml:space="preserve">4. Methodology: </t>
  </si>
  <si>
    <t>Your approach to the project including the development methodologies you will use</t>
  </si>
  <si>
    <t xml:space="preserve">5. Timeline: </t>
  </si>
  <si>
    <t>Project timeline including the Milestones to meet and their respective Deadlines</t>
  </si>
  <si>
    <t xml:space="preserve">6. Cost Estimates: </t>
  </si>
  <si>
    <t>Detailed cost breakdown</t>
  </si>
  <si>
    <t xml:space="preserve">7. Case Studies: </t>
  </si>
  <si>
    <t>Past projects that you did to highlight your expertise</t>
  </si>
  <si>
    <t xml:space="preserve">8. Testimonials: </t>
  </si>
  <si>
    <t xml:space="preserve">Client testimonials about you. </t>
  </si>
  <si>
    <t>9. Next Steps:</t>
  </si>
  <si>
    <t xml:space="preserve"> Call to action. What client needs to do to avail your services. </t>
  </si>
  <si>
    <t xml:space="preserve">                |E2E Tests|
            |    UI Tests        |    
       |        API Tests            |    
  |            Unit Tests                |  </t>
  </si>
  <si>
    <t>Test Automation Estimation Template</t>
  </si>
  <si>
    <t>Script Development Efforts</t>
  </si>
  <si>
    <t>Very Simple</t>
  </si>
  <si>
    <t>Simple</t>
  </si>
  <si>
    <t>Medium</t>
  </si>
  <si>
    <t>Complex</t>
  </si>
  <si>
    <t>Very Complex</t>
  </si>
  <si>
    <t>Efforts (Hrs) / Test Case</t>
  </si>
  <si>
    <t>Number of Test Cases</t>
  </si>
  <si>
    <t>Total</t>
  </si>
  <si>
    <t>Additional Efforts</t>
  </si>
  <si>
    <t>Review and Rework</t>
  </si>
  <si>
    <t>Execute and Dry Run</t>
  </si>
  <si>
    <t>Result Analysis</t>
  </si>
  <si>
    <t>Test Management</t>
  </si>
  <si>
    <t>Other Efforts</t>
  </si>
  <si>
    <t>Efforts</t>
  </si>
  <si>
    <t>Common Efforts</t>
  </si>
  <si>
    <t>Create Automation Test Strategy</t>
  </si>
  <si>
    <t>Framework Design and Customization</t>
  </si>
  <si>
    <t>Knowledge Transfer and SME</t>
  </si>
  <si>
    <t>Total Efforts (Hrs)</t>
  </si>
  <si>
    <t>Efforts (Man-Days)</t>
  </si>
  <si>
    <t>Scripting Days</t>
  </si>
  <si>
    <t>Resources Required</t>
  </si>
  <si>
    <t>Total days Required for the team</t>
  </si>
  <si>
    <t>Selenium Grid</t>
  </si>
  <si>
    <t>Selenium Grid does not have any code of its own. It's just a configuration which executes selenium code on different machines</t>
  </si>
  <si>
    <t>Selenium grid runs test cases on different ports. Those ports can be present on different machines as well as the same machines</t>
  </si>
  <si>
    <t>Selenium Grid Components</t>
  </si>
  <si>
    <t>Hub</t>
  </si>
  <si>
    <t>Node</t>
  </si>
  <si>
    <t>Where the Test Scripts are hosted</t>
  </si>
  <si>
    <t>Where they are executed</t>
  </si>
  <si>
    <t>Set Selenium Grid Hub</t>
  </si>
  <si>
    <t>Old</t>
  </si>
  <si>
    <t>Download the selenium standalone server jar</t>
  </si>
  <si>
    <t>The command will start the hub and display the port number where the hub is running</t>
  </si>
  <si>
    <t>Go to the directory where the jar file is present</t>
  </si>
  <si>
    <t>Set the Selenium Grid Node</t>
  </si>
  <si>
    <t>To set the node for a single browser</t>
  </si>
  <si>
    <t>To set the node for a multiple chosen browsers</t>
  </si>
  <si>
    <t>To set the node for a multiple chosen browsers, with a fixed number of instances</t>
  </si>
  <si>
    <r>
      <t>java -jar selenium-server-standalone-&lt;Version no.&gt;.jar -role webdriver -hub &lt;hub IP&gt;</t>
    </r>
    <r>
      <rPr>
        <sz val="20"/>
        <color rgb="FFFF0000"/>
        <rFont val="Calibri"/>
        <family val="2"/>
        <scheme val="minor"/>
      </rPr>
      <t>:</t>
    </r>
    <r>
      <rPr>
        <sz val="11"/>
        <color theme="1"/>
        <rFont val="Calibri"/>
        <family val="2"/>
        <scheme val="minor"/>
      </rPr>
      <t xml:space="preserve">&lt;port no.&gt;/grid/register -port &lt;port No.&gt;  </t>
    </r>
    <r>
      <rPr>
        <b/>
        <sz val="11"/>
        <color rgb="FFFF0000"/>
        <rFont val="Calibri"/>
        <family val="2"/>
        <scheme val="minor"/>
      </rPr>
      <t>-browser browserName=firefox</t>
    </r>
    <r>
      <rPr>
        <sz val="11"/>
        <color theme="1"/>
        <rFont val="Calibri"/>
        <family val="2"/>
        <scheme val="minor"/>
      </rPr>
      <t xml:space="preserve"> </t>
    </r>
    <r>
      <rPr>
        <b/>
        <sz val="11"/>
        <color theme="4" tint="-0.249977111117893"/>
        <rFont val="Calibri"/>
        <family val="2"/>
        <scheme val="minor"/>
      </rPr>
      <t>-browser browserName=chrome</t>
    </r>
    <r>
      <rPr>
        <b/>
        <sz val="11"/>
        <color theme="4" tint="0.39997558519241921"/>
        <rFont val="Calibri"/>
        <family val="2"/>
        <scheme val="minor"/>
      </rPr>
      <t>.maxInstances=3</t>
    </r>
  </si>
  <si>
    <r>
      <t xml:space="preserve">Run this command in the command prompt
</t>
    </r>
    <r>
      <rPr>
        <b/>
        <sz val="11"/>
        <color rgb="FFFF0000"/>
        <rFont val="Calibri"/>
        <family val="2"/>
        <scheme val="minor"/>
      </rPr>
      <t>java -jar selenium-server-standalone-&lt;Version no.&gt;.jar -role hub</t>
    </r>
  </si>
  <si>
    <t>To specify the number of concurrent tets to run</t>
  </si>
  <si>
    <r>
      <t>java -jar selenium-server-standalone-&lt;Version no.&gt;.jar -role webdriver -hub &lt;hub IP&gt;</t>
    </r>
    <r>
      <rPr>
        <sz val="20"/>
        <color rgb="FFFF0000"/>
        <rFont val="Calibri"/>
        <family val="2"/>
        <scheme val="minor"/>
      </rPr>
      <t>:</t>
    </r>
    <r>
      <rPr>
        <sz val="11"/>
        <color theme="1"/>
        <rFont val="Calibri"/>
        <family val="2"/>
        <scheme val="minor"/>
      </rPr>
      <t xml:space="preserve">&lt;port no.&gt;/grid/register -port &lt;port No.&gt;  </t>
    </r>
    <r>
      <rPr>
        <b/>
        <sz val="11"/>
        <color rgb="FFFF0000"/>
        <rFont val="Calibri"/>
        <family val="2"/>
        <scheme val="minor"/>
      </rPr>
      <t>-browser browserName=firefox</t>
    </r>
    <r>
      <rPr>
        <sz val="11"/>
        <color theme="1"/>
        <rFont val="Calibri"/>
        <family val="2"/>
        <scheme val="minor"/>
      </rPr>
      <t xml:space="preserve"> </t>
    </r>
    <r>
      <rPr>
        <b/>
        <sz val="11"/>
        <color theme="4" tint="-0.249977111117893"/>
        <rFont val="Calibri"/>
        <family val="2"/>
        <scheme val="minor"/>
      </rPr>
      <t>-browser browserName=chrome</t>
    </r>
    <r>
      <rPr>
        <b/>
        <sz val="11"/>
        <color theme="4" tint="0.39997558519241921"/>
        <rFont val="Calibri"/>
        <family val="2"/>
        <scheme val="minor"/>
      </rPr>
      <t xml:space="preserve">.maxInstances=3 </t>
    </r>
    <r>
      <rPr>
        <b/>
        <sz val="11"/>
        <color theme="9" tint="-0.499984740745262"/>
        <rFont val="Calibri"/>
        <family val="2"/>
        <scheme val="minor"/>
      </rPr>
      <t>-maxSession 4</t>
    </r>
  </si>
  <si>
    <t>To set up drivers for chrome, IE, etc</t>
  </si>
  <si>
    <t>-Dwebdriver.chrome.driver = &lt;driverpath&gt;</t>
  </si>
  <si>
    <t>Final command</t>
  </si>
  <si>
    <r>
      <t>java</t>
    </r>
    <r>
      <rPr>
        <b/>
        <sz val="11"/>
        <color theme="4" tint="-0.249977111117893"/>
        <rFont val="Calibri"/>
        <family val="2"/>
        <scheme val="minor"/>
      </rPr>
      <t xml:space="preserve"> -Dwebdriver.chrome.driver = &lt;driverpath&gt;</t>
    </r>
    <r>
      <rPr>
        <sz val="11"/>
        <color theme="1"/>
        <rFont val="Calibri"/>
        <family val="2"/>
        <scheme val="minor"/>
      </rPr>
      <t xml:space="preserve"> -jar selenium-server-standalone-&lt;Version no.&gt;.jar -role webdriver -hub &lt;hub IP&gt;</t>
    </r>
    <r>
      <rPr>
        <sz val="20"/>
        <color rgb="FFFF0000"/>
        <rFont val="Calibri"/>
        <family val="2"/>
        <scheme val="minor"/>
      </rPr>
      <t>:</t>
    </r>
    <r>
      <rPr>
        <sz val="11"/>
        <color theme="1"/>
        <rFont val="Calibri"/>
        <family val="2"/>
        <scheme val="minor"/>
      </rPr>
      <t xml:space="preserve">&lt;port no.&gt;/grid/register -port &lt;port No.&gt;  </t>
    </r>
    <r>
      <rPr>
        <b/>
        <sz val="11"/>
        <color rgb="FFFF0000"/>
        <rFont val="Calibri"/>
        <family val="2"/>
        <scheme val="minor"/>
      </rPr>
      <t>-browser browserName=firefox</t>
    </r>
    <r>
      <rPr>
        <sz val="11"/>
        <color theme="1"/>
        <rFont val="Calibri"/>
        <family val="2"/>
        <scheme val="minor"/>
      </rPr>
      <t xml:space="preserve"> </t>
    </r>
    <r>
      <rPr>
        <b/>
        <sz val="11"/>
        <color theme="4" tint="-0.249977111117893"/>
        <rFont val="Calibri"/>
        <family val="2"/>
        <scheme val="minor"/>
      </rPr>
      <t>-browser browserName=chrome</t>
    </r>
    <r>
      <rPr>
        <b/>
        <sz val="11"/>
        <color theme="4" tint="0.39997558519241921"/>
        <rFont val="Calibri"/>
        <family val="2"/>
        <scheme val="minor"/>
      </rPr>
      <t xml:space="preserve">.maxInstances=3 </t>
    </r>
    <r>
      <rPr>
        <b/>
        <sz val="11"/>
        <color theme="9" tint="-0.499984740745262"/>
        <rFont val="Calibri"/>
        <family val="2"/>
        <scheme val="minor"/>
      </rPr>
      <t>-maxSession 4</t>
    </r>
  </si>
  <si>
    <r>
      <t>(</t>
    </r>
    <r>
      <rPr>
        <b/>
        <sz val="11"/>
        <color rgb="FF00B050"/>
        <rFont val="Calibri"/>
        <family val="2"/>
        <scheme val="minor"/>
      </rPr>
      <t>Number of passed (or failed) tests</t>
    </r>
    <r>
      <rPr>
        <sz val="11"/>
        <color theme="1"/>
        <rFont val="Calibri"/>
        <family val="2"/>
        <scheme val="minor"/>
      </rPr>
      <t xml:space="preserve"> / </t>
    </r>
    <r>
      <rPr>
        <b/>
        <sz val="11"/>
        <color rgb="FFFF0000"/>
        <rFont val="Calibri"/>
        <family val="2"/>
        <scheme val="minor"/>
      </rPr>
      <t>Total number of tests</t>
    </r>
    <r>
      <rPr>
        <sz val="11"/>
        <color theme="1"/>
        <rFont val="Calibri"/>
        <family val="2"/>
        <scheme val="minor"/>
      </rPr>
      <t>)*100</t>
    </r>
  </si>
  <si>
    <r>
      <t>(</t>
    </r>
    <r>
      <rPr>
        <b/>
        <sz val="11"/>
        <color rgb="FF00B050"/>
        <rFont val="Calibri"/>
        <family val="2"/>
        <scheme val="minor"/>
      </rPr>
      <t>Number of test cases</t>
    </r>
    <r>
      <rPr>
        <sz val="11"/>
        <color theme="1"/>
        <rFont val="Calibri"/>
        <family val="2"/>
        <scheme val="minor"/>
      </rPr>
      <t xml:space="preserve"> / </t>
    </r>
    <r>
      <rPr>
        <b/>
        <sz val="11"/>
        <color rgb="FFFF0000"/>
        <rFont val="Calibri"/>
        <family val="2"/>
        <scheme val="minor"/>
      </rPr>
      <t>Time spent for test case execution</t>
    </r>
    <r>
      <rPr>
        <sz val="11"/>
        <color theme="1"/>
        <rFont val="Calibri"/>
        <family val="2"/>
        <scheme val="minor"/>
      </rPr>
      <t>)</t>
    </r>
  </si>
  <si>
    <r>
      <t>(</t>
    </r>
    <r>
      <rPr>
        <b/>
        <sz val="11"/>
        <color rgb="FF00B050"/>
        <rFont val="Calibri"/>
        <family val="2"/>
        <scheme val="minor"/>
      </rPr>
      <t>Number of requirements mapped to test cases</t>
    </r>
    <r>
      <rPr>
        <sz val="11"/>
        <color theme="1"/>
        <rFont val="Calibri"/>
        <family val="2"/>
        <scheme val="minor"/>
      </rPr>
      <t xml:space="preserve"> / </t>
    </r>
    <r>
      <rPr>
        <b/>
        <sz val="11"/>
        <color rgb="FFFF0000"/>
        <rFont val="Calibri"/>
        <family val="2"/>
        <scheme val="minor"/>
      </rPr>
      <t>Total number of requirements</t>
    </r>
    <r>
      <rPr>
        <sz val="11"/>
        <color theme="1"/>
        <rFont val="Calibri"/>
        <family val="2"/>
        <scheme val="minor"/>
      </rPr>
      <t>)*100</t>
    </r>
  </si>
  <si>
    <r>
      <rPr>
        <sz val="11"/>
        <color rgb="FF339933"/>
        <rFont val="Calibri"/>
        <family val="2"/>
        <scheme val="minor"/>
      </rPr>
      <t>(</t>
    </r>
    <r>
      <rPr>
        <b/>
        <sz val="11"/>
        <color rgb="FF339933"/>
        <rFont val="Calibri"/>
        <family val="2"/>
        <scheme val="minor"/>
      </rPr>
      <t>Number</t>
    </r>
    <r>
      <rPr>
        <b/>
        <sz val="11"/>
        <color rgb="FF00B050"/>
        <rFont val="Calibri"/>
        <family val="2"/>
        <scheme val="minor"/>
      </rPr>
      <t xml:space="preserve"> of test cases executed</t>
    </r>
    <r>
      <rPr>
        <sz val="11"/>
        <color theme="1"/>
        <rFont val="Calibri"/>
        <family val="2"/>
        <scheme val="minor"/>
      </rPr>
      <t xml:space="preserve"> / </t>
    </r>
    <r>
      <rPr>
        <b/>
        <sz val="11"/>
        <color rgb="FFFF0000"/>
        <rFont val="Calibri"/>
        <family val="2"/>
        <scheme val="minor"/>
      </rPr>
      <t>Total test cases planned</t>
    </r>
    <r>
      <rPr>
        <sz val="11"/>
        <color theme="1"/>
        <rFont val="Calibri"/>
        <family val="2"/>
        <scheme val="minor"/>
      </rPr>
      <t>)*100</t>
    </r>
  </si>
  <si>
    <r>
      <t>{(</t>
    </r>
    <r>
      <rPr>
        <b/>
        <sz val="11"/>
        <color rgb="FFFF0000"/>
        <rFont val="Calibri"/>
        <family val="2"/>
        <scheme val="minor"/>
      </rPr>
      <t>Number of critical defects</t>
    </r>
    <r>
      <rPr>
        <sz val="11"/>
        <color theme="1"/>
        <rFont val="Calibri"/>
        <family val="2"/>
        <scheme val="minor"/>
      </rPr>
      <t xml:space="preserve"> </t>
    </r>
    <r>
      <rPr>
        <b/>
        <sz val="11"/>
        <color theme="1"/>
        <rFont val="Calibri"/>
        <family val="2"/>
        <scheme val="minor"/>
      </rPr>
      <t>* 8</t>
    </r>
    <r>
      <rPr>
        <sz val="11"/>
        <color theme="1"/>
        <rFont val="Calibri"/>
        <family val="2"/>
        <scheme val="minor"/>
      </rPr>
      <t>) + (</t>
    </r>
    <r>
      <rPr>
        <b/>
        <sz val="11"/>
        <color theme="9" tint="-0.249977111117893"/>
        <rFont val="Calibri"/>
        <family val="2"/>
        <scheme val="minor"/>
      </rPr>
      <t>Number of high-severity defects</t>
    </r>
    <r>
      <rPr>
        <sz val="11"/>
        <color theme="1"/>
        <rFont val="Calibri"/>
        <family val="2"/>
        <scheme val="minor"/>
      </rPr>
      <t xml:space="preserve"> </t>
    </r>
    <r>
      <rPr>
        <b/>
        <sz val="11"/>
        <color theme="1"/>
        <rFont val="Calibri"/>
        <family val="2"/>
        <scheme val="minor"/>
      </rPr>
      <t>* 6)</t>
    </r>
    <r>
      <rPr>
        <sz val="11"/>
        <color theme="1"/>
        <rFont val="Calibri"/>
        <family val="2"/>
        <scheme val="minor"/>
      </rPr>
      <t xml:space="preserve"> + (</t>
    </r>
    <r>
      <rPr>
        <b/>
        <sz val="11"/>
        <color theme="8" tint="-0.249977111117893"/>
        <rFont val="Calibri"/>
        <family val="2"/>
        <scheme val="minor"/>
      </rPr>
      <t>Number of medium-severity defects</t>
    </r>
    <r>
      <rPr>
        <sz val="11"/>
        <color theme="1"/>
        <rFont val="Calibri"/>
        <family val="2"/>
        <scheme val="minor"/>
      </rPr>
      <t xml:space="preserve"> </t>
    </r>
    <r>
      <rPr>
        <b/>
        <sz val="11"/>
        <color theme="1"/>
        <rFont val="Calibri"/>
        <family val="2"/>
        <scheme val="minor"/>
      </rPr>
      <t>* 3</t>
    </r>
    <r>
      <rPr>
        <sz val="11"/>
        <color theme="1"/>
        <rFont val="Calibri"/>
        <family val="2"/>
        <scheme val="minor"/>
      </rPr>
      <t>) + (</t>
    </r>
    <r>
      <rPr>
        <b/>
        <sz val="11"/>
        <color rgb="FF339933"/>
        <rFont val="Calibri"/>
        <family val="2"/>
        <scheme val="minor"/>
      </rPr>
      <t>Number of low-severity defects</t>
    </r>
    <r>
      <rPr>
        <sz val="11"/>
        <color theme="1"/>
        <rFont val="Calibri"/>
        <family val="2"/>
        <scheme val="minor"/>
      </rPr>
      <t xml:space="preserve"> </t>
    </r>
    <r>
      <rPr>
        <b/>
        <sz val="11"/>
        <color theme="1"/>
        <rFont val="Calibri"/>
        <family val="2"/>
        <scheme val="minor"/>
      </rPr>
      <t>* 1)</t>
    </r>
    <r>
      <rPr>
        <sz val="11"/>
        <color theme="1"/>
        <rFont val="Calibri"/>
        <family val="2"/>
        <scheme val="minor"/>
      </rPr>
      <t xml:space="preserve">} /
</t>
    </r>
    <r>
      <rPr>
        <b/>
        <sz val="11"/>
        <color theme="1"/>
        <rFont val="Calibri"/>
        <family val="2"/>
        <scheme val="minor"/>
      </rPr>
      <t>Total defects</t>
    </r>
  </si>
  <si>
    <t xml:space="preserve">RFP should include along with </t>
  </si>
  <si>
    <t xml:space="preserve"> Vendor selection criteria</t>
  </si>
  <si>
    <t xml:space="preserve"> Evaluation metrics</t>
  </si>
  <si>
    <t>The must-have criteria</t>
  </si>
  <si>
    <t>Budget Range</t>
  </si>
  <si>
    <t xml:space="preserve">Availability of resources </t>
  </si>
  <si>
    <t xml:space="preserve">    the Software resources</t>
  </si>
  <si>
    <t xml:space="preserve">    Hardware resources</t>
  </si>
  <si>
    <t>The project details</t>
  </si>
  <si>
    <t>Problems that can occur in the whole project management process</t>
  </si>
  <si>
    <t>company background</t>
  </si>
  <si>
    <t>portfolio</t>
  </si>
  <si>
    <t xml:space="preserve">expertise </t>
  </si>
  <si>
    <t xml:space="preserve">the testimonials. </t>
  </si>
  <si>
    <t>Also scrutinize the software development activities of the companies.</t>
  </si>
  <si>
    <t xml:space="preserve">Vendor selection: </t>
  </si>
  <si>
    <t xml:space="preserve">Check for the </t>
  </si>
  <si>
    <t xml:space="preserve">Your project's objective </t>
  </si>
  <si>
    <t>your expected outcome</t>
  </si>
  <si>
    <t>timeframe</t>
  </si>
  <si>
    <t xml:space="preserve">the budget </t>
  </si>
  <si>
    <t>TEchnical Requirements</t>
  </si>
  <si>
    <t>functionalities</t>
  </si>
  <si>
    <t>Technologies</t>
  </si>
  <si>
    <t xml:space="preserve"> the number of developers</t>
  </si>
  <si>
    <t>Budget</t>
  </si>
  <si>
    <t>Timeline and other essentials.</t>
  </si>
  <si>
    <r>
      <t xml:space="preserve">A Software Development Proposal is a written document outlining </t>
    </r>
    <r>
      <rPr>
        <b/>
        <sz val="11"/>
        <color theme="9" tint="-0.249977111117893"/>
        <rFont val="Calibri"/>
        <family val="2"/>
        <scheme val="minor"/>
      </rPr>
      <t>how the work will be completed</t>
    </r>
    <r>
      <rPr>
        <sz val="11"/>
        <color theme="1"/>
        <rFont val="Calibri"/>
        <family val="2"/>
        <scheme val="minor"/>
      </rPr>
      <t xml:space="preserve"> for a software development project, including</t>
    </r>
  </si>
  <si>
    <t>.</t>
  </si>
  <si>
    <r>
      <rPr>
        <sz val="12"/>
        <rFont val="Calibri"/>
        <family val="2"/>
        <scheme val="minor"/>
      </rPr>
      <t>Provides</t>
    </r>
    <r>
      <rPr>
        <b/>
        <sz val="12"/>
        <color rgb="FFFF0000"/>
        <rFont val="Calibri"/>
        <family val="2"/>
        <scheme val="minor"/>
      </rPr>
      <t xml:space="preserve"> a framework and general guidelines </t>
    </r>
    <r>
      <rPr>
        <sz val="12"/>
        <rFont val="Calibri"/>
        <family val="2"/>
        <scheme val="minor"/>
      </rPr>
      <t>for testing across</t>
    </r>
    <r>
      <rPr>
        <b/>
        <sz val="12"/>
        <color rgb="FFFF0000"/>
        <rFont val="Calibri"/>
        <family val="2"/>
        <scheme val="minor"/>
      </rPr>
      <t xml:space="preserve"> multiple projects or the entire organization.</t>
    </r>
  </si>
  <si>
    <r>
      <rPr>
        <sz val="12"/>
        <rFont val="Calibri"/>
        <family val="2"/>
        <scheme val="minor"/>
      </rPr>
      <t>Specifies</t>
    </r>
    <r>
      <rPr>
        <b/>
        <sz val="12"/>
        <color rgb="FFFF0000"/>
        <rFont val="Calibri"/>
        <family val="2"/>
        <scheme val="minor"/>
      </rPr>
      <t xml:space="preserve"> the exact process, tasks, and timelines for testing a specific project or release.</t>
    </r>
  </si>
  <si>
    <r>
      <t xml:space="preserve">Broad and generic, </t>
    </r>
    <r>
      <rPr>
        <b/>
        <sz val="12"/>
        <color rgb="FF339933"/>
        <rFont val="Calibri"/>
        <family val="2"/>
        <scheme val="minor"/>
      </rPr>
      <t>applicable to all projects within the organization.</t>
    </r>
  </si>
  <si>
    <r>
      <t>Narrow and project-specific,</t>
    </r>
    <r>
      <rPr>
        <b/>
        <sz val="12"/>
        <color rgb="FF339933"/>
        <rFont val="Calibri"/>
        <family val="2"/>
        <scheme val="minor"/>
      </rPr>
      <t xml:space="preserve"> tailored to the needs of a particular project.</t>
    </r>
  </si>
  <si>
    <r>
      <t xml:space="preserve">    RFPS are the </t>
    </r>
    <r>
      <rPr>
        <b/>
        <sz val="11"/>
        <color rgb="FFFF0000"/>
        <rFont val="Calibri"/>
        <family val="2"/>
        <scheme val="minor"/>
      </rPr>
      <t>launching document for the organization</t>
    </r>
    <r>
      <rPr>
        <sz val="11"/>
        <color theme="1"/>
        <rFont val="Calibri"/>
        <family val="2"/>
        <scheme val="minor"/>
      </rPr>
      <t xml:space="preserve">. </t>
    </r>
  </si>
  <si>
    <r>
      <t>It</t>
    </r>
    <r>
      <rPr>
        <sz val="11"/>
        <color theme="9" tint="-0.249977111117893"/>
        <rFont val="Calibri"/>
        <family val="2"/>
        <scheme val="minor"/>
      </rPr>
      <t xml:space="preserve"> </t>
    </r>
    <r>
      <rPr>
        <b/>
        <sz val="11"/>
        <color theme="9" tint="-0.249977111117893"/>
        <rFont val="Calibri"/>
        <family val="2"/>
        <scheme val="minor"/>
      </rPr>
      <t>summarizes the project requirements</t>
    </r>
    <r>
      <rPr>
        <sz val="11"/>
        <color theme="9" tint="-0.249977111117893"/>
        <rFont val="Calibri"/>
        <family val="2"/>
        <scheme val="minor"/>
      </rPr>
      <t xml:space="preserve"> </t>
    </r>
    <r>
      <rPr>
        <sz val="11"/>
        <color theme="1"/>
        <rFont val="Calibri"/>
        <family val="2"/>
        <scheme val="minor"/>
      </rPr>
      <t>for party launching the project and the one bidding for it</t>
    </r>
  </si>
  <si>
    <r>
      <t xml:space="preserve"> It also serves as </t>
    </r>
    <r>
      <rPr>
        <b/>
        <sz val="11"/>
        <color rgb="FF339933"/>
        <rFont val="Calibri"/>
        <family val="2"/>
        <scheme val="minor"/>
      </rPr>
      <t>the recruiting guide</t>
    </r>
    <r>
      <rPr>
        <sz val="11"/>
        <color theme="1"/>
        <rFont val="Calibri"/>
        <family val="2"/>
        <scheme val="minor"/>
      </rPr>
      <t xml:space="preserve"> for the employers</t>
    </r>
  </si>
  <si>
    <t>Generally, the Product Owner, Project Manager, or the Business Analyst is in charge of writing the RFP, with the help of the professionals.</t>
  </si>
  <si>
    <t xml:space="preserve"> (Because they can connect with the stakeholders better, and know the project </t>
  </si>
  <si>
    <r>
      <t xml:space="preserve">Typically created by </t>
    </r>
    <r>
      <rPr>
        <b/>
        <sz val="12"/>
        <color rgb="FF339933"/>
        <rFont val="Calibri"/>
        <family val="2"/>
        <scheme val="minor"/>
      </rPr>
      <t>senior management or test architects.</t>
    </r>
  </si>
  <si>
    <r>
      <t>Typically created by</t>
    </r>
    <r>
      <rPr>
        <b/>
        <sz val="12"/>
        <color theme="6" tint="-0.249977111117893"/>
        <rFont val="Calibri"/>
        <family val="2"/>
        <scheme val="minor"/>
      </rPr>
      <t xml:space="preserve"> </t>
    </r>
    <r>
      <rPr>
        <b/>
        <sz val="12"/>
        <color rgb="FF339933"/>
        <rFont val="Calibri"/>
        <family val="2"/>
        <scheme val="minor"/>
      </rPr>
      <t>test managers or test leads for a specific project.</t>
    </r>
  </si>
  <si>
    <r>
      <rPr>
        <b/>
        <sz val="11"/>
        <color rgb="FFFF0000"/>
        <rFont val="Calibri"/>
        <family val="2"/>
        <scheme val="minor"/>
      </rPr>
      <t>[</t>
    </r>
    <r>
      <rPr>
        <b/>
        <sz val="11"/>
        <color rgb="FF339933"/>
        <rFont val="Calibri"/>
        <family val="2"/>
        <scheme val="minor"/>
      </rPr>
      <t>(</t>
    </r>
    <r>
      <rPr>
        <b/>
        <sz val="11"/>
        <color rgb="FFFF0000"/>
        <rFont val="Calibri"/>
        <family val="2"/>
        <scheme val="minor"/>
      </rPr>
      <t>Gain from test automation</t>
    </r>
    <r>
      <rPr>
        <sz val="11"/>
        <color theme="1"/>
        <rFont val="Calibri"/>
        <family val="2"/>
        <scheme val="minor"/>
      </rPr>
      <t xml:space="preserve"> – </t>
    </r>
    <r>
      <rPr>
        <b/>
        <sz val="11"/>
        <color theme="9" tint="-0.249977111117893"/>
        <rFont val="Calibri"/>
        <family val="2"/>
        <scheme val="minor"/>
      </rPr>
      <t>Cost of test automation</t>
    </r>
    <r>
      <rPr>
        <b/>
        <sz val="11"/>
        <color rgb="FF339933"/>
        <rFont val="Calibri"/>
        <family val="2"/>
        <scheme val="minor"/>
      </rPr>
      <t>)</t>
    </r>
    <r>
      <rPr>
        <sz val="11"/>
        <color theme="1"/>
        <rFont val="Calibri"/>
        <family val="2"/>
        <scheme val="minor"/>
      </rPr>
      <t>/</t>
    </r>
    <r>
      <rPr>
        <b/>
        <sz val="11"/>
        <color theme="9" tint="-0.249977111117893"/>
        <rFont val="Calibri"/>
        <family val="2"/>
        <scheme val="minor"/>
      </rPr>
      <t>Cost of test automation</t>
    </r>
    <r>
      <rPr>
        <b/>
        <sz val="11"/>
        <color rgb="FFFF0000"/>
        <rFont val="Calibri"/>
        <family val="2"/>
        <scheme val="minor"/>
      </rPr>
      <t>]</t>
    </r>
    <r>
      <rPr>
        <sz val="11"/>
        <color theme="1"/>
        <rFont val="Calibri"/>
        <family val="2"/>
        <scheme val="minor"/>
      </rPr>
      <t xml:space="preserve"> x 100</t>
    </r>
  </si>
  <si>
    <t>Software ROI, or Return on Investment, is the financial and business benefits of implementing a software application.</t>
  </si>
  <si>
    <t>Hard ROI</t>
  </si>
  <si>
    <t>concrete, quantifiable, and easily measurable financial returns or benefits that result from an investment.</t>
  </si>
  <si>
    <t>Soft ROI</t>
  </si>
  <si>
    <t>the qualitative and less tangible benefits of an investment.</t>
  </si>
  <si>
    <t>Finally, software ROI is used to assess the performance of new software projects.</t>
  </si>
  <si>
    <t>It can help organizations justify the costs of software implementation to secure the buy-in of the key decision-makers.</t>
  </si>
  <si>
    <t xml:space="preserve">Next, it assists in deciding between building software in-house and licensing expensive software solutions from 3rd parties. </t>
  </si>
  <si>
    <t>And if choosing a 3rd party tool, organizations can use it to select the most competitive one.</t>
  </si>
  <si>
    <t>Why calculate RoI</t>
  </si>
  <si>
    <t>Custom software development in-house</t>
  </si>
  <si>
    <t>Implementation costs.</t>
  </si>
  <si>
    <t>Staff onboarding and training costs.</t>
  </si>
  <si>
    <t xml:space="preserve"> as well as the cost of any necessary hardware, software tools, and infrastructure.</t>
  </si>
  <si>
    <t xml:space="preserve">Development costs – </t>
  </si>
  <si>
    <t>including salaries for software developers, architects, and project managers,</t>
  </si>
  <si>
    <t xml:space="preserve">Maintenance costs – </t>
  </si>
  <si>
    <t>the ongoing expenses for bug fixes, software updates, and system improvements.</t>
  </si>
  <si>
    <t xml:space="preserve">Cost of missed opportunities – </t>
  </si>
  <si>
    <t>ones you could take advantage of if you had the software in place.</t>
  </si>
  <si>
    <t>Estimated returns –</t>
  </si>
  <si>
    <t>the projected benefits or gains generated by the software.</t>
  </si>
  <si>
    <t xml:space="preserve">Period of time – </t>
  </si>
  <si>
    <t>how long the software will keep generating returns.</t>
  </si>
  <si>
    <r>
      <t>Software ROI =</t>
    </r>
    <r>
      <rPr>
        <b/>
        <sz val="14"/>
        <color theme="1"/>
        <rFont val="Calibri"/>
        <family val="2"/>
        <scheme val="minor"/>
      </rPr>
      <t xml:space="preserve"> (</t>
    </r>
    <r>
      <rPr>
        <b/>
        <sz val="11"/>
        <color theme="9" tint="-0.249977111117893"/>
        <rFont val="Calibri"/>
        <family val="2"/>
        <scheme val="minor"/>
      </rPr>
      <t>Actual or Estimated Gains</t>
    </r>
    <r>
      <rPr>
        <b/>
        <sz val="11"/>
        <color theme="1"/>
        <rFont val="Calibri"/>
        <family val="2"/>
        <scheme val="minor"/>
      </rPr>
      <t xml:space="preserve"> – </t>
    </r>
    <r>
      <rPr>
        <b/>
        <sz val="11"/>
        <color rgb="FFFF0000"/>
        <rFont val="Calibri"/>
        <family val="2"/>
        <scheme val="minor"/>
      </rPr>
      <t>Actual or Estimated Costs</t>
    </r>
    <r>
      <rPr>
        <b/>
        <sz val="14"/>
        <color theme="1"/>
        <rFont val="Calibri"/>
        <family val="2"/>
        <scheme val="minor"/>
      </rPr>
      <t>)</t>
    </r>
    <r>
      <rPr>
        <b/>
        <sz val="11"/>
        <color theme="1"/>
        <rFont val="Calibri"/>
        <family val="2"/>
        <scheme val="minor"/>
      </rPr>
      <t>/</t>
    </r>
    <r>
      <rPr>
        <b/>
        <sz val="11"/>
        <color rgb="FFFF0000"/>
        <rFont val="Calibri"/>
        <family val="2"/>
        <scheme val="minor"/>
      </rPr>
      <t>Actual or Estimated Costs</t>
    </r>
  </si>
  <si>
    <t>KPIs to measure the ROI for new software system</t>
  </si>
  <si>
    <t>Total Cost of ownership (TCO)</t>
  </si>
  <si>
    <t>all expenses associated with acquiring, implementing, using, and maintaining a software solution throughout its lifecycle.</t>
  </si>
  <si>
    <t>initial purchase or development costs</t>
  </si>
  <si>
    <t>ongoing expenses like licensing, support, training, maintenance, and upgrades.</t>
  </si>
  <si>
    <t>it provides a comprehensive view of the true financial impact of the software.</t>
  </si>
  <si>
    <t>Implementation cost</t>
  </si>
  <si>
    <t>all the expenses related to integrating the software into existing systems</t>
  </si>
  <si>
    <t>Time to value</t>
  </si>
  <si>
    <t>Time to value is the time needed by employees to realize the software’s value.</t>
  </si>
  <si>
    <t>The more complex the product and the more training it requires, the longer the TTV.</t>
  </si>
  <si>
    <t>One factor that can affect time to value is the quality of the onboarding and training resources. If done well, they can flatten the learning curve massively.</t>
  </si>
  <si>
    <t>Risks associated</t>
  </si>
  <si>
    <t>all the risks related to software development and implementation, like project delays, budget overruns, technology changes, or security vulnerabilities.</t>
  </si>
  <si>
    <t>the value of risks that the new software allows you to mitigate more effectively</t>
  </si>
  <si>
    <t>e.g. a new solution can make data storage safer, and protect the company from costly and damaging breaches</t>
  </si>
  <si>
    <t>Tips to implement when calculating the return on software investments</t>
  </si>
  <si>
    <t>Determine pessimistic and optimistic values for software expenses and benefits</t>
  </si>
  <si>
    <t> Look at the most optimistic and pessimistic costs.</t>
  </si>
  <si>
    <t>The same applies to benefits. Apart from the best-case scenario, look also at more pessimistic estimates.</t>
  </si>
  <si>
    <t>Decide on the timeframe for ROI measurement</t>
  </si>
  <si>
    <t>First, different software investments may have different payback periods.</t>
  </si>
  <si>
    <t xml:space="preserve">Even after that, your new software won’t deliver 100% of its potential value right off the bat. </t>
  </si>
  <si>
    <t>It will be a gradual process and the ROI will start increasing over time.</t>
  </si>
  <si>
    <t>your solution may also stop generating returns after a period of time, for example as a result of obsolescence.</t>
  </si>
  <si>
    <t>Short-term benefits could be improved efficiency and lower staff workloads</t>
  </si>
  <si>
    <t>long-term gains could be higher staff retention, greater customer satisfaction, and higher profits</t>
  </si>
  <si>
    <t>Calculate both anticipated and actual ROI</t>
  </si>
  <si>
    <t>By comparing the anticipated and actual ROI, you will be able to better estimate the ROI for future software projects</t>
  </si>
  <si>
    <r>
      <t>(</t>
    </r>
    <r>
      <rPr>
        <b/>
        <sz val="11"/>
        <color rgb="FF339933"/>
        <rFont val="Calibri"/>
        <family val="2"/>
        <scheme val="minor"/>
      </rPr>
      <t>Number of defects found</t>
    </r>
    <r>
      <rPr>
        <sz val="11"/>
        <color rgb="FF339933"/>
        <rFont val="Calibri"/>
        <family val="2"/>
        <scheme val="minor"/>
      </rPr>
      <t xml:space="preserve"> </t>
    </r>
    <r>
      <rPr>
        <sz val="11"/>
        <color theme="1"/>
        <rFont val="Calibri"/>
        <family val="2"/>
        <scheme val="minor"/>
      </rPr>
      <t xml:space="preserve">/ </t>
    </r>
    <r>
      <rPr>
        <b/>
        <sz val="11"/>
        <color rgb="FFFF0000"/>
        <rFont val="Calibri"/>
        <family val="2"/>
        <scheme val="minor"/>
      </rPr>
      <t>Total number of test cases executed</t>
    </r>
    <r>
      <rPr>
        <sz val="11"/>
        <color theme="1"/>
        <rFont val="Calibri"/>
        <family val="2"/>
        <scheme val="minor"/>
      </rPr>
      <t>)*100</t>
    </r>
  </si>
  <si>
    <r>
      <t>(</t>
    </r>
    <r>
      <rPr>
        <b/>
        <sz val="11"/>
        <color rgb="FF339933"/>
        <rFont val="Calibri"/>
        <family val="2"/>
        <scheme val="minor"/>
      </rPr>
      <t>Number of defects found</t>
    </r>
    <r>
      <rPr>
        <sz val="11"/>
        <color theme="1"/>
        <rFont val="Calibri"/>
        <family val="2"/>
        <scheme val="minor"/>
      </rPr>
      <t xml:space="preserve"> / </t>
    </r>
    <r>
      <rPr>
        <b/>
        <sz val="11"/>
        <color rgb="FFFF0000"/>
        <rFont val="Calibri"/>
        <family val="2"/>
        <scheme val="minor"/>
      </rPr>
      <t>Execution time</t>
    </r>
    <r>
      <rPr>
        <sz val="11"/>
        <color theme="1"/>
        <rFont val="Calibri"/>
        <family val="2"/>
        <scheme val="minor"/>
      </rPr>
      <t>)</t>
    </r>
  </si>
  <si>
    <r>
      <t>(</t>
    </r>
    <r>
      <rPr>
        <b/>
        <sz val="11"/>
        <color rgb="FF339933"/>
        <rFont val="Calibri"/>
        <family val="2"/>
        <scheme val="minor"/>
      </rPr>
      <t>Number of defects found</t>
    </r>
    <r>
      <rPr>
        <sz val="11"/>
        <color theme="1"/>
        <rFont val="Calibri"/>
        <family val="2"/>
        <scheme val="minor"/>
      </rPr>
      <t xml:space="preserve"> / </t>
    </r>
    <r>
      <rPr>
        <b/>
        <sz val="11"/>
        <color rgb="FFFF0000"/>
        <rFont val="Calibri"/>
        <family val="2"/>
        <scheme val="minor"/>
      </rPr>
      <t>Total number of requirements</t>
    </r>
    <r>
      <rPr>
        <sz val="11"/>
        <color theme="1"/>
        <rFont val="Calibri"/>
        <family val="2"/>
        <scheme val="minor"/>
      </rPr>
      <t>)</t>
    </r>
  </si>
  <si>
    <r>
      <t xml:space="preserve">Run this command in the command prompt
</t>
    </r>
    <r>
      <rPr>
        <b/>
        <sz val="11"/>
        <color rgb="FFFF0000"/>
        <rFont val="Calibri"/>
        <family val="2"/>
        <scheme val="minor"/>
      </rPr>
      <t>java -jar selenium-server-standalone-&lt;Version no.&gt;.jar -role webdriver -hub &lt;hub IP&gt;</t>
    </r>
    <r>
      <rPr>
        <b/>
        <sz val="14"/>
        <color theme="3" tint="0.39997558519241921"/>
        <rFont val="Calibri"/>
        <family val="2"/>
        <scheme val="minor"/>
      </rPr>
      <t>:</t>
    </r>
    <r>
      <rPr>
        <b/>
        <sz val="11"/>
        <color rgb="FFFF0000"/>
        <rFont val="Calibri"/>
        <family val="2"/>
        <scheme val="minor"/>
      </rPr>
      <t xml:space="preserve">&lt;port no.&gt;/grid/register -port &lt;port No.&gt;  </t>
    </r>
  </si>
  <si>
    <r>
      <t>java -jar selenium-server-standalone-&lt;Version no.&gt;.jar -role webdriver -hub &lt;hub IP&gt;</t>
    </r>
    <r>
      <rPr>
        <b/>
        <sz val="14"/>
        <color rgb="FFFF0000"/>
        <rFont val="Calibri"/>
        <family val="2"/>
        <scheme val="minor"/>
      </rPr>
      <t>:</t>
    </r>
    <r>
      <rPr>
        <sz val="11"/>
        <color theme="1"/>
        <rFont val="Calibri"/>
        <family val="2"/>
        <scheme val="minor"/>
      </rPr>
      <t xml:space="preserve">&lt;port no.&gt;/grid/register -port &lt;port No.&gt;  </t>
    </r>
    <r>
      <rPr>
        <b/>
        <sz val="11"/>
        <color rgb="FFFF0000"/>
        <rFont val="Calibri"/>
        <family val="2"/>
        <scheme val="minor"/>
      </rPr>
      <t>-browser browserName=firefox</t>
    </r>
  </si>
  <si>
    <r>
      <t>java -jar selenium-server-standalone-&lt;Version no.&gt;.jar -role webdriver -hub &lt;hub IP&gt;</t>
    </r>
    <r>
      <rPr>
        <b/>
        <sz val="14"/>
        <color rgb="FFFF0000"/>
        <rFont val="Calibri"/>
        <family val="2"/>
        <scheme val="minor"/>
      </rPr>
      <t>:</t>
    </r>
    <r>
      <rPr>
        <sz val="11"/>
        <color theme="1"/>
        <rFont val="Calibri"/>
        <family val="2"/>
        <scheme val="minor"/>
      </rPr>
      <t xml:space="preserve">&lt;port no.&gt;/grid/register -port &lt;port No.&gt;  </t>
    </r>
    <r>
      <rPr>
        <b/>
        <sz val="11"/>
        <color rgb="FFFF0000"/>
        <rFont val="Calibri"/>
        <family val="2"/>
        <scheme val="minor"/>
      </rPr>
      <t>-browser browserName=firefox</t>
    </r>
    <r>
      <rPr>
        <sz val="11"/>
        <color theme="1"/>
        <rFont val="Calibri"/>
        <family val="2"/>
        <scheme val="minor"/>
      </rPr>
      <t xml:space="preserve"> </t>
    </r>
    <r>
      <rPr>
        <b/>
        <sz val="11"/>
        <color theme="4" tint="-0.249977111117893"/>
        <rFont val="Calibri"/>
        <family val="2"/>
        <scheme val="minor"/>
      </rPr>
      <t>-browser browserName=chrome</t>
    </r>
  </si>
  <si>
    <r>
      <t>RestAssured.baseURI = &lt;base URI&gt;;
String response = given()</t>
    </r>
    <r>
      <rPr>
        <sz val="11"/>
        <color rgb="FFFF0000"/>
        <rFont val="Calibri"/>
        <family val="2"/>
        <scheme val="minor"/>
      </rPr>
      <t>.log().all().</t>
    </r>
    <r>
      <rPr>
        <sz val="11"/>
        <color theme="1"/>
        <rFont val="Calibri"/>
        <family val="2"/>
        <scheme val="minor"/>
      </rPr>
      <t>queryParam("place_id", placeID).queryParam("key", "qaclick123")
    .when().get("maps/api/place/get/json")
    .</t>
    </r>
    <r>
      <rPr>
        <sz val="11"/>
        <color rgb="FFFF0000"/>
        <rFont val="Calibri"/>
        <family val="2"/>
        <scheme val="minor"/>
      </rPr>
      <t>then().log().all().assertThat().statusCode(200)
    .body("address", equalTo(address))</t>
    </r>
    <r>
      <rPr>
        <sz val="11"/>
        <rFont val="Calibri"/>
        <family val="2"/>
        <scheme val="minor"/>
      </rPr>
      <t>.extract().response()
    .asString();</t>
    </r>
  </si>
  <si>
    <r>
      <t>String response =given()</t>
    </r>
    <r>
      <rPr>
        <sz val="11"/>
        <color rgb="FFFF0000"/>
        <rFont val="Calibri"/>
        <family val="2"/>
        <scheme val="minor"/>
      </rPr>
      <t>.log().all()</t>
    </r>
    <r>
      <rPr>
        <sz val="11"/>
        <color theme="1"/>
        <rFont val="Calibri"/>
        <family val="2"/>
        <scheme val="minor"/>
      </rPr>
      <t xml:space="preserve">.queryParam("key", "qaclick123").header("Content-Type", "application/json")
    .body(addPlace)
    .when().post("maps/api/place/add/json")
    </t>
    </r>
    <r>
      <rPr>
        <sz val="11"/>
        <color rgb="FFFF0000"/>
        <rFont val="Calibri"/>
        <family val="2"/>
        <scheme val="minor"/>
      </rPr>
      <t>.then().log().all().assertThat().statusCode(200)
    .body("scope", equalTo("APP")).header("Server", "Apache/2.4.18 (Ubuntu)").</t>
    </r>
    <r>
      <rPr>
        <sz val="11"/>
        <color theme="1"/>
        <rFont val="Calibri"/>
        <family val="2"/>
        <scheme val="minor"/>
      </rPr>
      <t>extract().response()
    .asString();</t>
    </r>
  </si>
  <si>
    <t>C#</t>
  </si>
  <si>
    <t>In C#, you cannot write generic code in the class file</t>
  </si>
  <si>
    <t>C# is static typed. i.e. the type of variable must be declared at the time of creating the variable</t>
  </si>
  <si>
    <t>int</t>
  </si>
  <si>
    <t>float</t>
  </si>
  <si>
    <t>char</t>
  </si>
  <si>
    <t>long</t>
  </si>
  <si>
    <t>double</t>
  </si>
  <si>
    <t>byte</t>
  </si>
  <si>
    <t>short</t>
  </si>
  <si>
    <t>No data types</t>
  </si>
  <si>
    <t>Class and Object</t>
  </si>
  <si>
    <t>String is a class which can create objects like a normal datatype</t>
  </si>
  <si>
    <t>java</t>
  </si>
  <si>
    <t>python</t>
  </si>
  <si>
    <t>service_object = Service("//chromedriver.exe")
driver = webdriver.Chrome(service_object)</t>
  </si>
  <si>
    <t>this is done directly in Selenium 4.0 in python. Explicit steps are required when there is restrictions in company for auto-updates</t>
  </si>
  <si>
    <t>service_object = Service(ChromeDriverManager().install())
driver = webdriver.Chrome(service_object)</t>
  </si>
  <si>
    <t>radios = driver.find_elements(By.XPATH, "//input[@type = 'radio']")</t>
  </si>
  <si>
    <t>print(len(radios))</t>
  </si>
  <si>
    <t>checkBox = driver_by.xpath(//input[@type = "checkbox"])); // all checkboxes
rest commands(By.xpath(//input[@type = "checkbox"])); // all checkboxes
Rest commands are same as radio button.XPATH, "// all checkboxes
Rest commands are same as[@type = 'check']")</t>
  </si>
  <si>
    <t>print(radios[0].is_displayed())</t>
  </si>
  <si>
    <t>radios[1].text</t>
  </si>
  <si>
    <t>month_dropdown = driver_element(By.xpath("xpath of drop list"));
Select month = new Select(month_dropdown);
month.SELECTBYINDEX, "//dropdown[@month = '= dri']")</t>
  </si>
  <si>
    <t>radios[1].click()</t>
  </si>
  <si>
    <t>Select[dropDown].dropDown)</t>
  </si>
  <si>
    <t>dropDown = Select(driver.find_element(By.ID, 'id'))</t>
  </si>
  <si>
    <t>driver.implicitly_wait(5)  # 5 = 5 seconds</t>
  </si>
  <si>
    <t>wait = WebDriverWait(driver, 10)
wait.until(expected_conditions.presence_of_element_located(By.ID, 'id")).click()</t>
  </si>
  <si>
    <t>open_windows = driver.window_handles
driver.switch_to.window(open_windows[1])</t>
  </si>
  <si>
    <t>alert = driver.switch_to.alert</t>
  </si>
  <si>
    <t>alert_text  = alert.text</t>
  </si>
  <si>
    <t xml:space="preserve">alert.accept()          </t>
  </si>
  <si>
    <t>alert.dismiss()</t>
  </si>
  <si>
    <t>driver.switch_to.default_content()</t>
  </si>
  <si>
    <t>driver.get_screenshot_as_file('&lt;file_name&gt;')</t>
  </si>
  <si>
    <r>
      <t>driver.execute_script(</t>
    </r>
    <r>
      <rPr>
        <b/>
        <i/>
        <sz val="11"/>
        <color theme="6" tint="-0.249977111117893"/>
        <rFont val="Calibri"/>
        <family val="2"/>
        <scheme val="minor"/>
      </rPr>
      <t>"document.getElementById('Some Id').value='Selenium'"</t>
    </r>
    <r>
      <rPr>
        <sz val="11"/>
        <color theme="1"/>
        <rFont val="Calibri"/>
        <family val="2"/>
        <scheme val="minor"/>
      </rPr>
      <t>)</t>
    </r>
  </si>
  <si>
    <r>
      <t xml:space="preserve">element = driver.find_element(By.ID, 'id')
</t>
    </r>
    <r>
      <rPr>
        <b/>
        <sz val="11"/>
        <color rgb="FFFF0000"/>
        <rFont val="Calibri"/>
        <family val="2"/>
        <scheme val="minor"/>
      </rPr>
      <t>action</t>
    </r>
    <r>
      <rPr>
        <sz val="11"/>
        <color theme="1"/>
        <rFont val="Calibri"/>
        <family val="2"/>
        <scheme val="minor"/>
      </rPr>
      <t xml:space="preserve"> = ActionChains(driver)
</t>
    </r>
    <r>
      <rPr>
        <b/>
        <sz val="11"/>
        <color rgb="FFFF0000"/>
        <rFont val="Calibri"/>
        <family val="2"/>
        <scheme val="minor"/>
      </rPr>
      <t>action</t>
    </r>
    <r>
      <rPr>
        <sz val="11"/>
        <color theme="1"/>
        <rFont val="Calibri"/>
        <family val="2"/>
        <scheme val="minor"/>
      </rPr>
      <t>.move_to_element(element).perform()</t>
    </r>
  </si>
  <si>
    <t>Run the browser in headless mode</t>
  </si>
  <si>
    <t>chrome_options = webdriver.ChromeOptions()
chrome_options.add_argument('headless')
driver = webdriver.Chrome(options=chrome_options)</t>
  </si>
  <si>
    <t>Install Robot Framework in python</t>
  </si>
  <si>
    <t>pip install robotframework</t>
  </si>
  <si>
    <t>Install supporting librarires of Robot Framework in python</t>
  </si>
  <si>
    <t>Theory</t>
  </si>
  <si>
    <r>
      <t xml:space="preserve">pip install </t>
    </r>
    <r>
      <rPr>
        <b/>
        <sz val="11"/>
        <color rgb="FFFF0000"/>
        <rFont val="Calibri"/>
        <family val="2"/>
        <scheme val="minor"/>
      </rPr>
      <t>&lt;library-name&gt;</t>
    </r>
  </si>
  <si>
    <r>
      <t xml:space="preserve">e.g. pip install  </t>
    </r>
    <r>
      <rPr>
        <b/>
        <sz val="11"/>
        <color rgb="FFFF0000"/>
        <rFont val="Calibri"/>
        <family val="2"/>
        <scheme val="minor"/>
      </rPr>
      <t>robotframework-seleniumlibrary</t>
    </r>
  </si>
  <si>
    <t>Settings Section</t>
  </si>
  <si>
    <r>
      <t>The Setting section is used to</t>
    </r>
    <r>
      <rPr>
        <b/>
        <sz val="11"/>
        <color rgb="FF339933"/>
        <rFont val="Calibri"/>
        <family val="2"/>
        <scheme val="minor"/>
      </rPr>
      <t xml:space="preserve"> import libraries, resource files and variable files</t>
    </r>
    <r>
      <rPr>
        <sz val="11"/>
        <color theme="1"/>
        <rFont val="Calibri"/>
        <family val="2"/>
        <scheme val="minor"/>
      </rPr>
      <t xml:space="preserve"> and </t>
    </r>
    <r>
      <rPr>
        <b/>
        <sz val="11"/>
        <color rgb="FFFF0000"/>
        <rFont val="Calibri"/>
        <family val="2"/>
        <scheme val="minor"/>
      </rPr>
      <t>to define metadata for test suites and test cases</t>
    </r>
    <r>
      <rPr>
        <sz val="11"/>
        <color theme="1"/>
        <rFont val="Calibri"/>
        <family val="2"/>
        <scheme val="minor"/>
      </rPr>
      <t>. It can be included in test case files and resource files. Note that in a resource file, a Setting section can only include settings for importing libraries, resources, and variables.</t>
    </r>
  </si>
  <si>
    <r>
      <t xml:space="preserve">*** Settings ***
</t>
    </r>
    <r>
      <rPr>
        <b/>
        <sz val="11"/>
        <color rgb="FFFF0000"/>
        <rFont val="Calibri"/>
        <family val="2"/>
        <scheme val="minor"/>
      </rPr>
      <t>Library    OperatingSystem
Library    path/to/MyLibrary.py</t>
    </r>
    <r>
      <rPr>
        <sz val="11"/>
        <color theme="1"/>
        <rFont val="Calibri"/>
        <family val="2"/>
        <scheme val="minor"/>
      </rPr>
      <t xml:space="preserve">
</t>
    </r>
    <r>
      <rPr>
        <b/>
        <sz val="11"/>
        <color rgb="FF339933"/>
        <rFont val="Calibri"/>
        <family val="2"/>
        <scheme val="minor"/>
      </rPr>
      <t>Resource    example.resource
Resource    ../resources/login.resource</t>
    </r>
    <r>
      <rPr>
        <sz val="11"/>
        <color theme="1"/>
        <rFont val="Calibri"/>
        <family val="2"/>
        <scheme val="minor"/>
      </rPr>
      <t xml:space="preserve">
</t>
    </r>
    <r>
      <rPr>
        <b/>
        <sz val="11"/>
        <color rgb="FF450FDD"/>
        <rFont val="Calibri"/>
        <family val="2"/>
        <scheme val="minor"/>
      </rPr>
      <t>Variables    myvariables.py
Variables    ../data/variables.py</t>
    </r>
    <r>
      <rPr>
        <sz val="11"/>
        <color theme="1"/>
        <rFont val="Calibri"/>
        <family val="2"/>
        <scheme val="minor"/>
      </rPr>
      <t xml:space="preserve">
</t>
    </r>
    <r>
      <rPr>
        <b/>
        <sz val="11"/>
        <color theme="9"/>
        <rFont val="Calibri"/>
        <family val="2"/>
        <scheme val="minor"/>
      </rPr>
      <t>Metadata        Version            2.0
Metadata        Robot Framework    http://robotframework.org</t>
    </r>
  </si>
  <si>
    <t>Testcases section</t>
  </si>
  <si>
    <r>
      <t xml:space="preserve">*** Test Cases ***
</t>
    </r>
    <r>
      <rPr>
        <b/>
        <sz val="11"/>
        <color theme="9"/>
        <rFont val="Calibri"/>
        <family val="2"/>
        <scheme val="minor"/>
      </rPr>
      <t>Basic Test Case</t>
    </r>
    <r>
      <rPr>
        <sz val="11"/>
        <color theme="1"/>
        <rFont val="Calibri"/>
        <family val="2"/>
        <scheme val="minor"/>
      </rPr>
      <t xml:space="preserve">
    </t>
    </r>
    <r>
      <rPr>
        <b/>
        <sz val="11"/>
        <color rgb="FF00B0F0"/>
        <rFont val="Calibri"/>
        <family val="2"/>
        <scheme val="minor"/>
      </rPr>
      <t xml:space="preserve">log </t>
    </r>
    <r>
      <rPr>
        <sz val="11"/>
        <color theme="1"/>
        <rFont val="Calibri"/>
        <family val="2"/>
        <scheme val="minor"/>
      </rPr>
      <t xml:space="preserve">    </t>
    </r>
    <r>
      <rPr>
        <b/>
        <sz val="11"/>
        <color rgb="FFD395C9"/>
        <rFont val="Calibri"/>
        <family val="2"/>
        <scheme val="minor"/>
      </rPr>
      <t>Basic Test Case</t>
    </r>
  </si>
  <si>
    <t>Writes actual testcases here
*** Test Cases ***
&lt;Testcase Name&gt;
    &lt;Keyword&gt;     &lt;Arguments&gt; Tab Separated</t>
  </si>
  <si>
    <t>Keywords</t>
  </si>
  <si>
    <t>Used to create Testcases for Selenium, API, and Database</t>
  </si>
  <si>
    <t>Selenium Library Keywords</t>
  </si>
  <si>
    <t>URL can be entered directly or by using the variables</t>
  </si>
  <si>
    <t>input text</t>
  </si>
  <si>
    <r>
      <rPr>
        <b/>
        <sz val="11"/>
        <color rgb="FF00B0F0"/>
        <rFont val="Calibri"/>
        <family val="2"/>
        <scheme val="minor"/>
      </rPr>
      <t>open browser</t>
    </r>
    <r>
      <rPr>
        <sz val="11"/>
        <color theme="1"/>
        <rFont val="Calibri"/>
        <family val="2"/>
        <scheme val="minor"/>
      </rPr>
      <t xml:space="preserve">   </t>
    </r>
    <r>
      <rPr>
        <b/>
        <sz val="11"/>
        <color rgb="FFD395C9"/>
        <rFont val="Calibri"/>
        <family val="2"/>
        <scheme val="minor"/>
      </rPr>
      <t xml:space="preserve"> </t>
    </r>
    <r>
      <rPr>
        <b/>
        <sz val="11"/>
        <color rgb="FFC97BC0"/>
        <rFont val="Calibri"/>
        <family val="2"/>
        <scheme val="minor"/>
      </rPr>
      <t>https://www.saucedemo.com/    chrome</t>
    </r>
  </si>
  <si>
    <t>input password</t>
  </si>
  <si>
    <r>
      <rPr>
        <b/>
        <sz val="9.8000000000000007"/>
        <color rgb="FF56A2F6"/>
        <rFont val="JetBrains Mono"/>
      </rPr>
      <t>Input Text</t>
    </r>
    <r>
      <rPr>
        <b/>
        <sz val="9.8000000000000007"/>
        <color rgb="FF56A8F5"/>
        <rFont val="JetBrains Mono"/>
      </rPr>
      <t xml:space="preserve">    </t>
    </r>
    <r>
      <rPr>
        <b/>
        <i/>
        <sz val="9.8000000000000007"/>
        <color rgb="FFC77DBB"/>
        <rFont val="JetBrains Mono"/>
      </rPr>
      <t>id:user-n</t>
    </r>
    <r>
      <rPr>
        <b/>
        <i/>
        <sz val="9.8000000000000007"/>
        <color rgb="FFC97BC0"/>
        <rFont val="JetBrains Mono"/>
      </rPr>
      <t>ame</t>
    </r>
    <r>
      <rPr>
        <b/>
        <i/>
        <sz val="9.8000000000000007"/>
        <color rgb="FFC77DBB"/>
        <rFont val="JetBrains Mono"/>
      </rPr>
      <t xml:space="preserve">       </t>
    </r>
    <r>
      <rPr>
        <b/>
        <sz val="9.8000000000000007"/>
        <color rgb="FF68A67D"/>
        <rFont val="JetBrains Mono"/>
      </rPr>
      <t>${USER}</t>
    </r>
  </si>
  <si>
    <r>
      <t xml:space="preserve">Used to enter text in the text field
syntax:
</t>
    </r>
    <r>
      <rPr>
        <b/>
        <sz val="11"/>
        <color rgb="FF56A2F6"/>
        <rFont val="Calibri"/>
        <family val="2"/>
        <scheme val="minor"/>
      </rPr>
      <t>input text</t>
    </r>
    <r>
      <rPr>
        <sz val="11"/>
        <color theme="1"/>
        <rFont val="Calibri"/>
        <family val="2"/>
        <scheme val="minor"/>
      </rPr>
      <t xml:space="preserve">    </t>
    </r>
    <r>
      <rPr>
        <b/>
        <sz val="11"/>
        <color rgb="FFC97BC0"/>
        <rFont val="Calibri"/>
        <family val="2"/>
        <scheme val="minor"/>
      </rPr>
      <t>&lt;locator&gt;    &lt;value&gt;</t>
    </r>
  </si>
  <si>
    <r>
      <t xml:space="preserve">Similar to input text, but does not log the value entered
syntax:
</t>
    </r>
    <r>
      <rPr>
        <b/>
        <sz val="11"/>
        <color rgb="FF56A2F6"/>
        <rFont val="Calibri"/>
        <family val="2"/>
        <scheme val="minor"/>
      </rPr>
      <t>input password</t>
    </r>
    <r>
      <rPr>
        <sz val="11"/>
        <color theme="1"/>
        <rFont val="Calibri"/>
        <family val="2"/>
        <scheme val="minor"/>
      </rPr>
      <t xml:space="preserve">    </t>
    </r>
    <r>
      <rPr>
        <b/>
        <sz val="11"/>
        <color rgb="FFC97BC0"/>
        <rFont val="Calibri"/>
        <family val="2"/>
        <scheme val="minor"/>
      </rPr>
      <t>&lt;locator&gt;    &lt;value&gt;</t>
    </r>
  </si>
  <si>
    <r>
      <t xml:space="preserve">Used to open the browser and navigate to the site
Syntax. 
</t>
    </r>
    <r>
      <rPr>
        <b/>
        <sz val="11"/>
        <color rgb="FF56A2F6"/>
        <rFont val="Calibri"/>
        <family val="2"/>
        <scheme val="minor"/>
      </rPr>
      <t>open browser</t>
    </r>
    <r>
      <rPr>
        <sz val="11"/>
        <color theme="1"/>
        <rFont val="Calibri"/>
        <family val="2"/>
        <scheme val="minor"/>
      </rPr>
      <t xml:space="preserve">   </t>
    </r>
    <r>
      <rPr>
        <b/>
        <sz val="11"/>
        <color rgb="FFD395C9"/>
        <rFont val="Calibri"/>
        <family val="2"/>
        <scheme val="minor"/>
      </rPr>
      <t xml:space="preserve"> </t>
    </r>
    <r>
      <rPr>
        <b/>
        <sz val="11"/>
        <color rgb="FFC97BC0"/>
        <rFont val="Calibri"/>
        <family val="2"/>
        <scheme val="minor"/>
      </rPr>
      <t>&lt;URL&gt;    &lt;browser_name&gt;</t>
    </r>
  </si>
  <si>
    <r>
      <rPr>
        <b/>
        <sz val="9.8000000000000007"/>
        <color rgb="FF56A8F5"/>
        <rFont val="JetBrains Mono"/>
      </rPr>
      <t xml:space="preserve">input password    </t>
    </r>
    <r>
      <rPr>
        <b/>
        <i/>
        <sz val="9.8000000000000007"/>
        <color rgb="FFC77DBB"/>
        <rFont val="JetBrains Mono"/>
      </rPr>
      <t xml:space="preserve">id:password        </t>
    </r>
    <r>
      <rPr>
        <b/>
        <sz val="9.8000000000000007"/>
        <color rgb="FF68A67E"/>
        <rFont val="JetBrains Mono"/>
      </rPr>
      <t>${PASSWORD}</t>
    </r>
  </si>
  <si>
    <t>click button</t>
  </si>
  <si>
    <r>
      <t xml:space="preserve">Click Button  </t>
    </r>
    <r>
      <rPr>
        <b/>
        <i/>
        <sz val="9.8000000000000007"/>
        <color rgb="FFC77DBB"/>
        <rFont val="JetBrains Mono"/>
      </rPr>
      <t>id:login-button</t>
    </r>
  </si>
  <si>
    <r>
      <t xml:space="preserve">Clicks on the button provided
syntax:
</t>
    </r>
    <r>
      <rPr>
        <b/>
        <sz val="11"/>
        <color rgb="FF56A2F6"/>
        <rFont val="Calibri"/>
        <family val="2"/>
        <scheme val="minor"/>
      </rPr>
      <t>Click Button</t>
    </r>
    <r>
      <rPr>
        <sz val="11"/>
        <color theme="1"/>
        <rFont val="Calibri"/>
        <family val="2"/>
        <scheme val="minor"/>
      </rPr>
      <t xml:space="preserve">    </t>
    </r>
    <r>
      <rPr>
        <b/>
        <sz val="11"/>
        <color rgb="FFC97BC0"/>
        <rFont val="Calibri"/>
        <family val="2"/>
        <scheme val="minor"/>
      </rPr>
      <t xml:space="preserve">&lt;button_locator&gt; </t>
    </r>
  </si>
  <si>
    <t>open browser</t>
  </si>
  <si>
    <t xml:space="preserve">Selenium Library </t>
  </si>
  <si>
    <t>Used to work with web using Selenium</t>
  </si>
  <si>
    <t>How to work with multiple browsers</t>
  </si>
  <si>
    <t xml:space="preserve">Just use the browser name: chrome, firefox, edge. </t>
  </si>
  <si>
    <t>With selenium 4.0, there's no need to download any browser-specific drivers</t>
  </si>
  <si>
    <t>get text</t>
  </si>
  <si>
    <r>
      <rPr>
        <sz val="11"/>
        <rFont val="Calibri"/>
        <family val="2"/>
        <scheme val="minor"/>
      </rPr>
      <t>*** Variables ***</t>
    </r>
    <r>
      <rPr>
        <b/>
        <sz val="11"/>
        <color rgb="FF00B0F0"/>
        <rFont val="Calibri"/>
        <family val="2"/>
        <scheme val="minor"/>
      </rPr>
      <t xml:space="preserve">
</t>
    </r>
    <r>
      <rPr>
        <sz val="11"/>
        <color theme="0" tint="-0.499984740745262"/>
        <rFont val="Calibri"/>
        <family val="2"/>
        <scheme val="minor"/>
      </rPr>
      <t xml:space="preserve">${URL} </t>
    </r>
    <r>
      <rPr>
        <sz val="11"/>
        <color rgb="FF68A67D"/>
        <rFont val="Calibri"/>
        <family val="2"/>
        <scheme val="minor"/>
      </rPr>
      <t xml:space="preserve">    </t>
    </r>
    <r>
      <rPr>
        <sz val="11"/>
        <color rgb="FF00B0F0"/>
        <rFont val="Calibri"/>
        <family val="2"/>
        <scheme val="minor"/>
      </rPr>
      <t xml:space="preserve">    </t>
    </r>
    <r>
      <rPr>
        <sz val="11"/>
        <color rgb="FFC97BC0"/>
        <rFont val="Calibri"/>
        <family val="2"/>
        <scheme val="minor"/>
      </rPr>
      <t>https://www.saucedemo.com/</t>
    </r>
    <r>
      <rPr>
        <b/>
        <sz val="11"/>
        <color rgb="FF00B0F0"/>
        <rFont val="Calibri"/>
        <family val="2"/>
        <scheme val="minor"/>
      </rPr>
      <t xml:space="preserve">
</t>
    </r>
    <r>
      <rPr>
        <sz val="11"/>
        <rFont val="Calibri"/>
        <family val="2"/>
        <scheme val="minor"/>
      </rPr>
      <t>*** Test Cases ***</t>
    </r>
    <r>
      <rPr>
        <b/>
        <sz val="11"/>
        <color rgb="FF00B0F0"/>
        <rFont val="Calibri"/>
        <family val="2"/>
        <scheme val="minor"/>
      </rPr>
      <t xml:space="preserve">
open browser</t>
    </r>
    <r>
      <rPr>
        <sz val="11"/>
        <color theme="1"/>
        <rFont val="Calibri"/>
        <family val="2"/>
        <scheme val="minor"/>
      </rPr>
      <t xml:space="preserve">   </t>
    </r>
    <r>
      <rPr>
        <b/>
        <sz val="11"/>
        <color rgb="FFD395C9"/>
        <rFont val="Calibri"/>
        <family val="2"/>
        <scheme val="minor"/>
      </rPr>
      <t xml:space="preserve"> </t>
    </r>
    <r>
      <rPr>
        <b/>
        <sz val="11"/>
        <color rgb="FF68A67D"/>
        <rFont val="Calibri"/>
        <family val="2"/>
        <scheme val="minor"/>
      </rPr>
      <t xml:space="preserve">${URL} </t>
    </r>
    <r>
      <rPr>
        <b/>
        <sz val="11"/>
        <color rgb="FFD395C9"/>
        <rFont val="Calibri"/>
        <family val="2"/>
        <scheme val="minor"/>
      </rPr>
      <t xml:space="preserve">   </t>
    </r>
    <r>
      <rPr>
        <b/>
        <sz val="11"/>
        <color rgb="FFC97BC0"/>
        <rFont val="Calibri"/>
        <family val="2"/>
        <scheme val="minor"/>
      </rPr>
      <t>chrome</t>
    </r>
  </si>
  <si>
    <r>
      <rPr>
        <b/>
        <sz val="9.8000000000000007"/>
        <color theme="0" tint="-0.499984740745262"/>
        <rFont val="JetBrains Mono"/>
      </rPr>
      <t>${title}=</t>
    </r>
    <r>
      <rPr>
        <b/>
        <sz val="9.8000000000000007"/>
        <color rgb="FFBCBEC4"/>
        <rFont val="JetBrains Mono"/>
      </rPr>
      <t xml:space="preserve">    </t>
    </r>
    <r>
      <rPr>
        <b/>
        <sz val="9.8000000000000007"/>
        <color rgb="FF56A8F5"/>
        <rFont val="JetBrains Mono"/>
      </rPr>
      <t xml:space="preserve">get text    </t>
    </r>
    <r>
      <rPr>
        <b/>
        <i/>
        <sz val="9.8000000000000007"/>
        <color rgb="FFC77DBB"/>
        <rFont val="JetBrains Mono"/>
      </rPr>
      <t>css:.title</t>
    </r>
  </si>
  <si>
    <r>
      <t xml:space="preserve">Gets text from the element. The text should be collected in a variable
syntax:
</t>
    </r>
    <r>
      <rPr>
        <b/>
        <sz val="11"/>
        <color theme="0" tint="-0.499984740745262"/>
        <rFont val="Calibri"/>
        <family val="2"/>
        <scheme val="minor"/>
      </rPr>
      <t>${variable}=</t>
    </r>
    <r>
      <rPr>
        <b/>
        <sz val="11"/>
        <color rgb="FF56A2F6"/>
        <rFont val="Calibri"/>
        <family val="2"/>
        <scheme val="minor"/>
      </rPr>
      <t xml:space="preserve">    get text</t>
    </r>
    <r>
      <rPr>
        <sz val="11"/>
        <color theme="1"/>
        <rFont val="Calibri"/>
        <family val="2"/>
        <scheme val="minor"/>
      </rPr>
      <t xml:space="preserve">    </t>
    </r>
    <r>
      <rPr>
        <b/>
        <sz val="11"/>
        <color rgb="FFC97BC0"/>
        <rFont val="Calibri"/>
        <family val="2"/>
        <scheme val="minor"/>
      </rPr>
      <t xml:space="preserve">&lt;locator&gt; </t>
    </r>
  </si>
  <si>
    <t>Synchronization Techniques</t>
  </si>
  <si>
    <t>The implicit and explicit waits for ensuring the availability of elements and the correct state of page for testing</t>
  </si>
  <si>
    <r>
      <rPr>
        <b/>
        <sz val="9.8000000000000007"/>
        <color rgb="FF56A8F5"/>
        <rFont val="JetBrains Mono"/>
      </rPr>
      <t xml:space="preserve">set selenium implicit wait    </t>
    </r>
    <r>
      <rPr>
        <b/>
        <i/>
        <sz val="9.8000000000000007"/>
        <color rgb="FFC77DBB"/>
        <rFont val="JetBrains Mono"/>
      </rPr>
      <t>10s</t>
    </r>
  </si>
  <si>
    <t>Explicit wait</t>
  </si>
  <si>
    <t>Waits for a fixed outcome</t>
  </si>
  <si>
    <r>
      <rPr>
        <b/>
        <sz val="9.8000000000000007"/>
        <color rgb="FF56A8F5"/>
        <rFont val="JetBrains Mono"/>
      </rPr>
      <t xml:space="preserve">wait until page contains element    </t>
    </r>
    <r>
      <rPr>
        <b/>
        <i/>
        <sz val="9.8000000000000007"/>
        <color rgb="FFC77DBB"/>
        <rFont val="JetBrains Mono"/>
      </rPr>
      <t>id:user-name    20s</t>
    </r>
  </si>
  <si>
    <t xml:space="preserve">wait until page contains element </t>
  </si>
  <si>
    <r>
      <t xml:space="preserve">wait until page contains element    </t>
    </r>
    <r>
      <rPr>
        <b/>
        <i/>
        <sz val="9.8000000000000007"/>
        <color rgb="FFC77DBB"/>
        <rFont val="JetBrains Mono"/>
      </rPr>
      <t>&lt;locator&gt;    &lt;timeout_unit&gt;</t>
    </r>
  </si>
  <si>
    <r>
      <rPr>
        <sz val="9.8000000000000007"/>
        <rFont val="JetBrains Mono"/>
      </rPr>
      <t xml:space="preserve">Set Selenium Implicit Wait
syntax:
</t>
    </r>
    <r>
      <rPr>
        <b/>
        <sz val="9.8000000000000007"/>
        <color rgb="FF56A8F5"/>
        <rFont val="JetBrains Mono"/>
      </rPr>
      <t xml:space="preserve">set selenium implicit wait    </t>
    </r>
    <r>
      <rPr>
        <b/>
        <i/>
        <sz val="9.8000000000000007"/>
        <color rgb="FFC77DBB"/>
        <rFont val="JetBrains Mono"/>
      </rPr>
      <t>&lt;timeout_unit&gt;</t>
    </r>
  </si>
  <si>
    <r>
      <rPr>
        <b/>
        <sz val="9.8000000000000007"/>
        <color rgb="FF56A8F5"/>
        <rFont val="JetBrains Mono"/>
      </rPr>
      <t xml:space="preserve">wait until keyword succeeds    </t>
    </r>
    <r>
      <rPr>
        <b/>
        <i/>
        <sz val="9.8000000000000007"/>
        <color rgb="FFC77DBB"/>
        <rFont val="JetBrains Mono"/>
      </rPr>
      <t>3 times    5s    element should be visible    id:user-name</t>
    </r>
  </si>
  <si>
    <r>
      <t xml:space="preserve">wait until keyword succeeds    </t>
    </r>
    <r>
      <rPr>
        <b/>
        <i/>
        <sz val="9.8000000000000007"/>
        <color rgb="FFC77DBB"/>
        <rFont val="JetBrains Mono"/>
      </rPr>
      <t>&lt;repetetion&gt;    &lt;interval&gt;    &lt;condition&gt;    &lt;locator&gt;</t>
    </r>
  </si>
  <si>
    <t>Robot Framework Variables</t>
  </si>
  <si>
    <t>Variables are used to store values to repeatedly use in a framework</t>
  </si>
  <si>
    <t>scaler variable</t>
  </si>
  <si>
    <r>
      <rPr>
        <b/>
        <sz val="9.8000000000000007"/>
        <color rgb="FFBCBEC4"/>
        <rFont val="JetBrains Mono"/>
      </rPr>
      <t xml:space="preserve">${USER}        </t>
    </r>
    <r>
      <rPr>
        <b/>
        <i/>
        <sz val="9.8000000000000007"/>
        <color rgb="FFC77DBB"/>
        <rFont val="JetBrains Mono"/>
      </rPr>
      <t>standard_user</t>
    </r>
  </si>
  <si>
    <r>
      <rPr>
        <sz val="9.8000000000000007"/>
        <rFont val="JetBrains Mono"/>
      </rPr>
      <t xml:space="preserve">Variable that stores a single value
syntax:
</t>
    </r>
    <r>
      <rPr>
        <b/>
        <sz val="9.8000000000000007"/>
        <color rgb="FFBCBEC4"/>
        <rFont val="JetBrains Mono"/>
      </rPr>
      <t xml:space="preserve">${&lt;variable_name&gt;}        </t>
    </r>
    <r>
      <rPr>
        <b/>
        <i/>
        <sz val="9.8000000000000007"/>
        <color rgb="FFC77DBB"/>
        <rFont val="JetBrains Mono"/>
      </rPr>
      <t>&lt;value&gt;</t>
    </r>
  </si>
  <si>
    <t>list variable</t>
  </si>
  <si>
    <t>dictionary variables</t>
  </si>
  <si>
    <t>call in function</t>
  </si>
  <si>
    <r>
      <rPr>
        <b/>
        <sz val="11"/>
        <color theme="9"/>
        <rFont val="Calibri"/>
        <family val="2"/>
        <scheme val="minor"/>
      </rPr>
      <t>Basic Test Case</t>
    </r>
    <r>
      <rPr>
        <sz val="11"/>
        <color theme="1"/>
        <rFont val="Calibri"/>
        <family val="2"/>
        <scheme val="minor"/>
      </rPr>
      <t xml:space="preserve">
    </t>
    </r>
    <r>
      <rPr>
        <b/>
        <sz val="11"/>
        <color rgb="FF00B0F0"/>
        <rFont val="Calibri"/>
        <family val="2"/>
        <scheme val="minor"/>
      </rPr>
      <t xml:space="preserve">log </t>
    </r>
    <r>
      <rPr>
        <sz val="11"/>
        <color theme="1"/>
        <rFont val="Calibri"/>
        <family val="2"/>
        <scheme val="minor"/>
      </rPr>
      <t xml:space="preserve">    </t>
    </r>
    <r>
      <rPr>
        <b/>
        <sz val="11"/>
        <color rgb="FFBABCC6"/>
        <rFont val="Calibri"/>
        <family val="2"/>
        <scheme val="minor"/>
      </rPr>
      <t xml:space="preserve">${&lt;variable_name&gt;} </t>
    </r>
  </si>
  <si>
    <r>
      <t xml:space="preserve">@{cities}    </t>
    </r>
    <r>
      <rPr>
        <b/>
        <i/>
        <sz val="9.8000000000000007"/>
        <color rgb="FFC77DBB"/>
        <rFont val="JetBrains Mono"/>
      </rPr>
      <t>Pune    Mumbai    Nagpur    Nashik</t>
    </r>
  </si>
  <si>
    <r>
      <rPr>
        <sz val="9.8000000000000007"/>
        <rFont val="JetBrains Mono"/>
      </rPr>
      <t xml:space="preserve">Varaibles that store multiple values in a list
syntax:
</t>
    </r>
    <r>
      <rPr>
        <b/>
        <sz val="9.8000000000000007"/>
        <color rgb="FFBCBEC4"/>
        <rFont val="JetBrains Mono"/>
      </rPr>
      <t xml:space="preserve">@{&lt;list_name}    </t>
    </r>
    <r>
      <rPr>
        <b/>
        <i/>
        <sz val="9.8000000000000007"/>
        <color rgb="FFC77DBB"/>
        <rFont val="JetBrains Mono"/>
      </rPr>
      <t>&lt;value_1&gt;    &lt;value_2&gt;    &lt;value_3&gt;    &lt;value_4&gt;</t>
    </r>
  </si>
  <si>
    <r>
      <rPr>
        <b/>
        <sz val="11"/>
        <color theme="9"/>
        <rFont val="Calibri"/>
        <family val="2"/>
        <scheme val="minor"/>
      </rPr>
      <t>Basic Test Case</t>
    </r>
    <r>
      <rPr>
        <sz val="11"/>
        <color theme="1"/>
        <rFont val="Calibri"/>
        <family val="2"/>
        <scheme val="minor"/>
      </rPr>
      <t xml:space="preserve">
    </t>
    </r>
    <r>
      <rPr>
        <b/>
        <sz val="11"/>
        <color rgb="FF00B0F0"/>
        <rFont val="Calibri"/>
        <family val="2"/>
        <scheme val="minor"/>
      </rPr>
      <t xml:space="preserve">log </t>
    </r>
    <r>
      <rPr>
        <sz val="11"/>
        <color theme="1"/>
        <rFont val="Calibri"/>
        <family val="2"/>
        <scheme val="minor"/>
      </rPr>
      <t xml:space="preserve">    </t>
    </r>
    <r>
      <rPr>
        <b/>
        <sz val="11"/>
        <color rgb="FFBABCC6"/>
        <rFont val="Calibri"/>
        <family val="2"/>
        <scheme val="minor"/>
      </rPr>
      <t>${&lt;list_name[0]&gt;}     ${&lt;list_name&gt;}[1]</t>
    </r>
  </si>
  <si>
    <r>
      <rPr>
        <b/>
        <sz val="9.8000000000000007"/>
        <color rgb="FFBCBEC4"/>
        <rFont val="JetBrains Mono"/>
      </rPr>
      <t xml:space="preserve">&amp;{person}    </t>
    </r>
    <r>
      <rPr>
        <b/>
        <i/>
        <sz val="9.8000000000000007"/>
        <color rgb="FFC77DBB"/>
        <rFont val="JetBrains Mono"/>
      </rPr>
      <t>name=Mayuresh    age=30    city=Pune</t>
    </r>
  </si>
  <si>
    <r>
      <rPr>
        <sz val="9.8000000000000007"/>
        <rFont val="JetBrains Mono"/>
      </rPr>
      <t xml:space="preserve">Varaibles that store the key-value pairs
syntax:
</t>
    </r>
    <r>
      <rPr>
        <b/>
        <sz val="9.8000000000000007"/>
        <color rgb="FFBCBEC4"/>
        <rFont val="JetBrains Mono"/>
      </rPr>
      <t xml:space="preserve">&amp;{&lt;dictionary_name}    </t>
    </r>
    <r>
      <rPr>
        <b/>
        <i/>
        <sz val="9.8000000000000007"/>
        <color rgb="FFC77DBB"/>
        <rFont val="JetBrains Mono"/>
      </rPr>
      <t>&lt;key_1&gt;=&lt;value_1&gt;    &lt;key_1&gt;=&lt;value_1&gt;    &lt;key_1&gt;=&lt;value_1&gt;</t>
    </r>
  </si>
  <si>
    <r>
      <rPr>
        <b/>
        <sz val="9.8000000000000007"/>
        <color rgb="FF56A8F5"/>
        <rFont val="JetBrains Mono"/>
      </rPr>
      <t xml:space="preserve">log    </t>
    </r>
    <r>
      <rPr>
        <b/>
        <sz val="9.8000000000000007"/>
        <color rgb="FF68A67E"/>
        <rFont val="JetBrains Mono"/>
      </rPr>
      <t>${person['name']} ${person.age} ${person['city']}</t>
    </r>
  </si>
  <si>
    <t>get dictionary keys</t>
  </si>
  <si>
    <r>
      <t xml:space="preserve">*** Settings ***
</t>
    </r>
    <r>
      <rPr>
        <b/>
        <sz val="9.8000000000000007"/>
        <color rgb="FFBABCC6"/>
        <rFont val="JetBrains Mono"/>
      </rPr>
      <t>Library</t>
    </r>
    <r>
      <rPr>
        <b/>
        <sz val="9.8000000000000007"/>
        <color rgb="FF6AAB73"/>
        <rFont val="JetBrains Mono"/>
      </rPr>
      <t xml:space="preserve">    </t>
    </r>
    <r>
      <rPr>
        <b/>
        <sz val="9.8000000000000007"/>
        <color rgb="FFC97BC0"/>
        <rFont val="JetBrains Mono"/>
      </rPr>
      <t>Collections</t>
    </r>
    <r>
      <rPr>
        <b/>
        <sz val="9.8000000000000007"/>
        <color rgb="FF6AAB73"/>
        <rFont val="JetBrains Mono"/>
      </rPr>
      <t xml:space="preserve">
*** Test Cases ***
</t>
    </r>
    <r>
      <rPr>
        <b/>
        <sz val="9.8000000000000007"/>
        <color rgb="FFBABCC6"/>
        <rFont val="JetBrains Mono"/>
      </rPr>
      <t xml:space="preserve">    @{keys}=</t>
    </r>
    <r>
      <rPr>
        <b/>
        <sz val="9.8000000000000007"/>
        <color rgb="FF6AAB73"/>
        <rFont val="JetBrains Mono"/>
      </rPr>
      <t xml:space="preserve">    </t>
    </r>
    <r>
      <rPr>
        <b/>
        <sz val="9.8000000000000007"/>
        <color rgb="FF56A2F6"/>
        <rFont val="JetBrains Mono"/>
      </rPr>
      <t>get dictionary keys</t>
    </r>
    <r>
      <rPr>
        <b/>
        <sz val="9.8000000000000007"/>
        <color rgb="FF6AAB73"/>
        <rFont val="JetBrains Mono"/>
      </rPr>
      <t xml:space="preserve">    ${person}    </t>
    </r>
    <r>
      <rPr>
        <b/>
        <sz val="9.8000000000000007"/>
        <color rgb="FFC97BC0"/>
        <rFont val="JetBrains Mono"/>
      </rPr>
      <t>sort_keys=False</t>
    </r>
    <r>
      <rPr>
        <b/>
        <sz val="9.8000000000000007"/>
        <color rgb="FF6AAB73"/>
        <rFont val="JetBrains Mono"/>
      </rPr>
      <t xml:space="preserve">
    </t>
    </r>
    <r>
      <rPr>
        <b/>
        <sz val="9.8000000000000007"/>
        <color rgb="FF56A2F6"/>
        <rFont val="JetBrains Mono"/>
      </rPr>
      <t>log</t>
    </r>
    <r>
      <rPr>
        <b/>
        <sz val="9.8000000000000007"/>
        <color rgb="FF6AAB73"/>
        <rFont val="JetBrains Mono"/>
      </rPr>
      <t xml:space="preserve">     ${keys}</t>
    </r>
    <r>
      <rPr>
        <b/>
        <sz val="9.8000000000000007"/>
        <color rgb="FFC97BC0"/>
        <rFont val="JetBrains Mono"/>
      </rPr>
      <t>[0]</t>
    </r>
    <r>
      <rPr>
        <b/>
        <sz val="9.8000000000000007"/>
        <color rgb="FF6AAB73"/>
        <rFont val="JetBrains Mono"/>
      </rPr>
      <t xml:space="preserve">
</t>
    </r>
  </si>
  <si>
    <t>Simple keyword</t>
  </si>
  <si>
    <r>
      <t xml:space="preserve">*** Keywords ***
</t>
    </r>
    <r>
      <rPr>
        <b/>
        <sz val="9.8000000000000007"/>
        <color rgb="FFCE936E"/>
        <rFont val="JetBrains Mono"/>
      </rPr>
      <t>Log the title</t>
    </r>
    <r>
      <rPr>
        <b/>
        <sz val="9.8000000000000007"/>
        <color rgb="FF6AAB73"/>
        <rFont val="JetBrains Mono"/>
      </rPr>
      <t xml:space="preserve">
    </t>
    </r>
    <r>
      <rPr>
        <b/>
        <sz val="9.8000000000000007"/>
        <color rgb="FFBABCC6"/>
        <rFont val="JetBrains Mono"/>
      </rPr>
      <t>${title}=</t>
    </r>
    <r>
      <rPr>
        <b/>
        <sz val="9.8000000000000007"/>
        <color rgb="FF6AAB73"/>
        <rFont val="JetBrains Mono"/>
      </rPr>
      <t xml:space="preserve">    </t>
    </r>
    <r>
      <rPr>
        <b/>
        <sz val="9.8000000000000007"/>
        <color rgb="FF56A2F6"/>
        <rFont val="JetBrains Mono"/>
      </rPr>
      <t>get text</t>
    </r>
    <r>
      <rPr>
        <b/>
        <sz val="9.8000000000000007"/>
        <color rgb="FF6AAB73"/>
        <rFont val="JetBrains Mono"/>
      </rPr>
      <t xml:space="preserve">    </t>
    </r>
    <r>
      <rPr>
        <b/>
        <sz val="9.8000000000000007"/>
        <color rgb="FFC97BC0"/>
        <rFont val="JetBrains Mono"/>
      </rPr>
      <t>css:title</t>
    </r>
    <r>
      <rPr>
        <b/>
        <sz val="9.8000000000000007"/>
        <color rgb="FF6AAB73"/>
        <rFont val="JetBrains Mono"/>
      </rPr>
      <t xml:space="preserve">
    </t>
    </r>
    <r>
      <rPr>
        <b/>
        <sz val="9.8000000000000007"/>
        <color rgb="FF56A2F6"/>
        <rFont val="JetBrains Mono"/>
      </rPr>
      <t>log</t>
    </r>
    <r>
      <rPr>
        <b/>
        <sz val="9.8000000000000007"/>
        <color rgb="FF6AAB73"/>
        <rFont val="JetBrains Mono"/>
      </rPr>
      <t xml:space="preserve">     ${title}</t>
    </r>
  </si>
  <si>
    <r>
      <t xml:space="preserve">*** Keywords ***
</t>
    </r>
    <r>
      <rPr>
        <b/>
        <sz val="9.8000000000000007"/>
        <color rgb="FFCE936E"/>
        <rFont val="JetBrains Mono"/>
      </rPr>
      <t>&lt;Keyword Name&gt;
    &lt;Keyword Functionality&gt;</t>
    </r>
  </si>
  <si>
    <t>Argumented Keyword</t>
  </si>
  <si>
    <t>Use</t>
  </si>
  <si>
    <r>
      <t xml:space="preserve">*** Test Cases ***
</t>
    </r>
    <r>
      <rPr>
        <b/>
        <sz val="9.8000000000000007"/>
        <color rgb="FFCE936E"/>
        <rFont val="JetBrains Mono"/>
      </rPr>
      <t>Positive Test Case</t>
    </r>
    <r>
      <rPr>
        <b/>
        <sz val="9.8000000000000007"/>
        <color rgb="FF6AAB73"/>
        <rFont val="JetBrains Mono"/>
      </rPr>
      <t xml:space="preserve">
    </t>
    </r>
    <r>
      <rPr>
        <b/>
        <sz val="9.8000000000000007"/>
        <color rgb="FF56A2F6"/>
        <rFont val="JetBrains Mono"/>
      </rPr>
      <t>Log the title</t>
    </r>
  </si>
  <si>
    <r>
      <t xml:space="preserve">*** Test Cases ***
</t>
    </r>
    <r>
      <rPr>
        <b/>
        <sz val="9.8000000000000007"/>
        <color rgb="FFCE936E"/>
        <rFont val="JetBrains Mono"/>
      </rPr>
      <t>&lt;Test Case Name&gt;</t>
    </r>
    <r>
      <rPr>
        <b/>
        <sz val="9.8000000000000007"/>
        <color rgb="FF6AAB73"/>
        <rFont val="JetBrains Mono"/>
      </rPr>
      <t xml:space="preserve">
    </t>
    </r>
    <r>
      <rPr>
        <b/>
        <sz val="9.8000000000000007"/>
        <color rgb="FF56A2F6"/>
        <rFont val="JetBrains Mono"/>
      </rPr>
      <t>&lt;Keyword&gt;</t>
    </r>
  </si>
  <si>
    <r>
      <t xml:space="preserve">*** Keywords ***
</t>
    </r>
    <r>
      <rPr>
        <b/>
        <sz val="9.8000000000000007"/>
        <color rgb="FFCE936E"/>
        <rFont val="JetBrains Mono"/>
      </rPr>
      <t>Launch the Application</t>
    </r>
    <r>
      <rPr>
        <b/>
        <sz val="9.8000000000000007"/>
        <color rgb="FF6AAB73"/>
        <rFont val="JetBrains Mono"/>
      </rPr>
      <t xml:space="preserve">
    [Arguments]   </t>
    </r>
    <r>
      <rPr>
        <b/>
        <sz val="9.8000000000000007"/>
        <color rgb="FFBABCC6"/>
        <rFont val="JetBrains Mono"/>
      </rPr>
      <t>${URL}    ${browser}</t>
    </r>
    <r>
      <rPr>
        <b/>
        <sz val="9.8000000000000007"/>
        <color rgb="FF6AAB73"/>
        <rFont val="JetBrains Mono"/>
      </rPr>
      <t xml:space="preserve">
    </t>
    </r>
    <r>
      <rPr>
        <b/>
        <sz val="9.8000000000000007"/>
        <color rgb="FF56A2F6"/>
        <rFont val="JetBrains Mono"/>
      </rPr>
      <t>Open Browser</t>
    </r>
    <r>
      <rPr>
        <b/>
        <sz val="9.8000000000000007"/>
        <color rgb="FF6AAB73"/>
        <rFont val="JetBrains Mono"/>
      </rPr>
      <t xml:space="preserve">    ${URL}    ${browser}</t>
    </r>
  </si>
  <si>
    <r>
      <t xml:space="preserve">*** Keywords ***
</t>
    </r>
    <r>
      <rPr>
        <b/>
        <sz val="9.8000000000000007"/>
        <color rgb="FFCE936E"/>
        <rFont val="JetBrains Mono"/>
      </rPr>
      <t>&lt;Keyword Name&gt;</t>
    </r>
    <r>
      <rPr>
        <b/>
        <sz val="9.8000000000000007"/>
        <color rgb="FF6AAB73"/>
        <rFont val="JetBrains Mono"/>
      </rPr>
      <t xml:space="preserve">
    [Arguments]   </t>
    </r>
    <r>
      <rPr>
        <b/>
        <sz val="9.8000000000000007"/>
        <color rgb="FFBABCC6"/>
        <rFont val="JetBrains Mono"/>
      </rPr>
      <t>${&lt;Argument_1&gt;}    ${&lt;Argument_2&gt;}</t>
    </r>
    <r>
      <rPr>
        <b/>
        <sz val="9.8000000000000007"/>
        <color rgb="FF6AAB73"/>
        <rFont val="JetBrains Mono"/>
      </rPr>
      <t xml:space="preserve">
    </t>
    </r>
    <r>
      <rPr>
        <b/>
        <sz val="9.8000000000000007"/>
        <color rgb="FF56A2F6"/>
        <rFont val="JetBrains Mono"/>
      </rPr>
      <t>Open Browser</t>
    </r>
    <r>
      <rPr>
        <b/>
        <sz val="9.8000000000000007"/>
        <color rgb="FF6AAB73"/>
        <rFont val="JetBrains Mono"/>
      </rPr>
      <t xml:space="preserve">    $&lt;Argument_1&gt;}    ${&lt;Argument_2&gt;}</t>
    </r>
  </si>
  <si>
    <r>
      <t xml:space="preserve">*** Test Cases ***
</t>
    </r>
    <r>
      <rPr>
        <b/>
        <sz val="9.8000000000000007"/>
        <color rgb="FFCE936E"/>
        <rFont val="JetBrains Mono"/>
      </rPr>
      <t>Positive Test Case</t>
    </r>
    <r>
      <rPr>
        <b/>
        <sz val="9.8000000000000007"/>
        <color rgb="FF6AAB73"/>
        <rFont val="JetBrains Mono"/>
      </rPr>
      <t xml:space="preserve">
    </t>
    </r>
    <r>
      <rPr>
        <b/>
        <sz val="9.8000000000000007"/>
        <color rgb="FF56A2F6"/>
        <rFont val="JetBrains Mono"/>
      </rPr>
      <t>Launch the Application</t>
    </r>
    <r>
      <rPr>
        <b/>
        <sz val="9.8000000000000007"/>
        <color rgb="FF6AAB73"/>
        <rFont val="JetBrains Mono"/>
      </rPr>
      <t xml:space="preserve">  </t>
    </r>
    <r>
      <rPr>
        <b/>
        <sz val="9.8000000000000007"/>
        <color rgb="FFC97BC0"/>
        <rFont val="JetBrains Mono"/>
      </rPr>
      <t>https://www.saucedemo.com/    edge</t>
    </r>
  </si>
  <si>
    <r>
      <t xml:space="preserve">*** Test Cases ***
</t>
    </r>
    <r>
      <rPr>
        <b/>
        <sz val="9.8000000000000007"/>
        <color rgb="FFCE936E"/>
        <rFont val="JetBrains Mono"/>
      </rPr>
      <t>&lt;Test Case Name&gt;</t>
    </r>
    <r>
      <rPr>
        <b/>
        <sz val="9.8000000000000007"/>
        <color rgb="FF6AAB73"/>
        <rFont val="JetBrains Mono"/>
      </rPr>
      <t xml:space="preserve">
    </t>
    </r>
    <r>
      <rPr>
        <b/>
        <sz val="9.8000000000000007"/>
        <color rgb="FF56A2F6"/>
        <rFont val="JetBrains Mono"/>
      </rPr>
      <t>&lt;Keyword&gt;</t>
    </r>
    <r>
      <rPr>
        <b/>
        <sz val="9.8000000000000007"/>
        <color rgb="FF6AAB73"/>
        <rFont val="JetBrains Mono"/>
      </rPr>
      <t xml:space="preserve">  </t>
    </r>
    <r>
      <rPr>
        <b/>
        <sz val="9.8000000000000007"/>
        <color rgb="FFC97BC0"/>
        <rFont val="JetBrains Mono"/>
      </rPr>
      <t>&lt;Argument_1_Value&gt;    &lt;Argument_2_Value&gt;</t>
    </r>
  </si>
  <si>
    <t>Using a keyword from a separate resource file</t>
  </si>
  <si>
    <r>
      <t xml:space="preserve">*** Settings ***
</t>
    </r>
    <r>
      <rPr>
        <b/>
        <sz val="9.8000000000000007"/>
        <color rgb="FFBABCC6"/>
        <rFont val="JetBrains Mono"/>
      </rPr>
      <t>Resource</t>
    </r>
    <r>
      <rPr>
        <b/>
        <sz val="9.8000000000000007"/>
        <color rgb="FF6AAB73"/>
        <rFont val="JetBrains Mono"/>
      </rPr>
      <t xml:space="preserve">   </t>
    </r>
    <r>
      <rPr>
        <b/>
        <sz val="9.8000000000000007"/>
        <color rgb="FFC97BC0"/>
        <rFont val="JetBrains Mono"/>
      </rPr>
      <t xml:space="preserve"> resources/commons.robot</t>
    </r>
  </si>
  <si>
    <r>
      <t xml:space="preserve">*** Settings ***
</t>
    </r>
    <r>
      <rPr>
        <b/>
        <sz val="9.8000000000000007"/>
        <color rgb="FFBABCC6"/>
        <rFont val="JetBrains Mono"/>
      </rPr>
      <t>Resource</t>
    </r>
    <r>
      <rPr>
        <b/>
        <sz val="9.8000000000000007"/>
        <color rgb="FF6AAB73"/>
        <rFont val="JetBrains Mono"/>
      </rPr>
      <t xml:space="preserve">   </t>
    </r>
    <r>
      <rPr>
        <b/>
        <sz val="9.8000000000000007"/>
        <color rgb="FFC97BC0"/>
        <rFont val="JetBrains Mono"/>
      </rPr>
      <t xml:space="preserve"> &lt;resources file path&gt;</t>
    </r>
  </si>
  <si>
    <t>Select from a dropdown</t>
  </si>
  <si>
    <t>various 'select from list' keywords</t>
  </si>
  <si>
    <r>
      <t xml:space="preserve">select from list by index    </t>
    </r>
    <r>
      <rPr>
        <b/>
        <i/>
        <sz val="9.8000000000000007"/>
        <color rgb="FFC77DBB"/>
        <rFont val="JetBrains Mono"/>
      </rPr>
      <t>css:select.product_sort_container    3</t>
    </r>
  </si>
  <si>
    <r>
      <t xml:space="preserve">select from list by label    </t>
    </r>
    <r>
      <rPr>
        <b/>
        <i/>
        <sz val="9.8000000000000007"/>
        <color rgb="FFC77DBB"/>
        <rFont val="JetBrains Mono"/>
      </rPr>
      <t>css:select.product_sort_container    Price (low to high)</t>
    </r>
  </si>
  <si>
    <r>
      <t xml:space="preserve">select from list by value    </t>
    </r>
    <r>
      <rPr>
        <b/>
        <i/>
        <sz val="9.8000000000000007"/>
        <color rgb="FFC77DBB"/>
        <rFont val="JetBrains Mono"/>
      </rPr>
      <t>css:select.product_sort_container    lohi</t>
    </r>
  </si>
  <si>
    <t>How to use a separate file for the locators</t>
  </si>
  <si>
    <r>
      <t xml:space="preserve">*** Settings ***
</t>
    </r>
    <r>
      <rPr>
        <b/>
        <sz val="9.8000000000000007"/>
        <color rgb="FFBABCC6"/>
        <rFont val="JetBrains Mono"/>
      </rPr>
      <t>Variables</t>
    </r>
    <r>
      <rPr>
        <b/>
        <sz val="9.8000000000000007"/>
        <color rgb="FF6AAB73"/>
        <rFont val="JetBrains Mono"/>
      </rPr>
      <t xml:space="preserve">    </t>
    </r>
    <r>
      <rPr>
        <b/>
        <sz val="9.8000000000000007"/>
        <color rgb="FFC97BC0"/>
        <rFont val="JetBrains Mono"/>
      </rPr>
      <t>../resources/locators.py</t>
    </r>
  </si>
  <si>
    <r>
      <t xml:space="preserve">@{windowHandles}=    </t>
    </r>
    <r>
      <rPr>
        <b/>
        <sz val="9.8000000000000007"/>
        <color rgb="FF56A8F5"/>
        <rFont val="JetBrains Mono"/>
      </rPr>
      <t>get window handles</t>
    </r>
  </si>
  <si>
    <r>
      <t xml:space="preserve">switch window    </t>
    </r>
    <r>
      <rPr>
        <b/>
        <sz val="9.8000000000000007"/>
        <color rgb="FF68A67E"/>
        <rFont val="JetBrains Mono"/>
      </rPr>
      <t>${windowHandles}</t>
    </r>
    <r>
      <rPr>
        <b/>
        <i/>
        <sz val="9.8000000000000007"/>
        <color rgb="FFC77DBB"/>
        <rFont val="JetBrains Mono"/>
      </rPr>
      <t>[1]</t>
    </r>
  </si>
  <si>
    <t>Select checkbox</t>
  </si>
  <si>
    <r>
      <t xml:space="preserve">select checkbox    </t>
    </r>
    <r>
      <rPr>
        <b/>
        <i/>
        <sz val="9.8000000000000007"/>
        <color rgb="FFC77DBB"/>
        <rFont val="JetBrains Mono"/>
      </rPr>
      <t>name:hobby</t>
    </r>
  </si>
  <si>
    <t>Upload a file</t>
  </si>
  <si>
    <r>
      <t xml:space="preserve">choose file    </t>
    </r>
    <r>
      <rPr>
        <b/>
        <i/>
        <sz val="9.8000000000000007"/>
        <color rgb="FFC77DBB"/>
        <rFont val="JetBrains Mono"/>
      </rPr>
      <t>xpath://*[@id="register_form"]/fieldset[9]/input    D:\\Programming\\PythonProgramming\\TrainerCode\\RobotFrameworkProject\\Resources\\sample_image.png</t>
    </r>
  </si>
  <si>
    <r>
      <t xml:space="preserve">select from list by index    </t>
    </r>
    <r>
      <rPr>
        <b/>
        <i/>
        <sz val="9.8000000000000007"/>
        <color rgb="FFC77DBB"/>
        <rFont val="JetBrains Mono"/>
      </rPr>
      <t>&lt;locator&gt;    &lt;index_no&gt;</t>
    </r>
  </si>
  <si>
    <r>
      <t xml:space="preserve">select from list by label    </t>
    </r>
    <r>
      <rPr>
        <b/>
        <i/>
        <sz val="9.8000000000000007"/>
        <color rgb="FFC77DBB"/>
        <rFont val="JetBrains Mono"/>
      </rPr>
      <t>&lt;locator&gt;    &lt;label&gt;</t>
    </r>
  </si>
  <si>
    <r>
      <t xml:space="preserve">select from list by value    </t>
    </r>
    <r>
      <rPr>
        <b/>
        <i/>
        <sz val="9.8000000000000007"/>
        <color rgb="FFC77DBB"/>
        <rFont val="JetBrains Mono"/>
      </rPr>
      <t>&lt;locator&gt;    &lt;value&gt;</t>
    </r>
  </si>
  <si>
    <r>
      <t xml:space="preserve">select checkbox    </t>
    </r>
    <r>
      <rPr>
        <b/>
        <i/>
        <sz val="9.8000000000000007"/>
        <color rgb="FFC77DBB"/>
        <rFont val="JetBrains Mono"/>
      </rPr>
      <t>&lt;locator&gt;</t>
    </r>
  </si>
  <si>
    <r>
      <t xml:space="preserve">choose file    </t>
    </r>
    <r>
      <rPr>
        <b/>
        <i/>
        <sz val="9.8000000000000007"/>
        <color rgb="FFC77DBB"/>
        <rFont val="JetBrains Mono"/>
      </rPr>
      <t>&lt;locator&gt;    &lt;file_path&gt;</t>
    </r>
  </si>
  <si>
    <t>If else</t>
  </si>
  <si>
    <t>END</t>
  </si>
  <si>
    <t>Else If Block</t>
  </si>
  <si>
    <r>
      <t xml:space="preserve">    </t>
    </r>
    <r>
      <rPr>
        <b/>
        <sz val="9.8000000000000007"/>
        <color rgb="FF56A8F5"/>
        <rFont val="JetBrains Mono"/>
      </rPr>
      <t xml:space="preserve">IF    </t>
    </r>
    <r>
      <rPr>
        <b/>
        <i/>
        <sz val="9.8000000000000007"/>
        <color rgb="FFC77DBB"/>
        <rFont val="JetBrains Mono"/>
      </rPr>
      <t>"</t>
    </r>
    <r>
      <rPr>
        <b/>
        <sz val="9.8000000000000007"/>
        <color rgb="FF68A67E"/>
        <rFont val="JetBrains Mono"/>
      </rPr>
      <t>${NAME}</t>
    </r>
    <r>
      <rPr>
        <b/>
        <i/>
        <sz val="9.8000000000000007"/>
        <color rgb="FFC77DBB"/>
        <rFont val="JetBrains Mono"/>
      </rPr>
      <t>" == "Rahul"</t>
    </r>
  </si>
  <si>
    <r>
      <t xml:space="preserve">          </t>
    </r>
    <r>
      <rPr>
        <b/>
        <sz val="9.8000000000000007"/>
        <color rgb="FF56A8F5"/>
        <rFont val="JetBrains Mono"/>
      </rPr>
      <t xml:space="preserve">log to console    </t>
    </r>
    <r>
      <rPr>
        <b/>
        <i/>
        <sz val="9.8000000000000007"/>
        <color rgb="FFC77DBB"/>
        <rFont val="JetBrains Mono"/>
      </rPr>
      <t>Name is Rahul</t>
    </r>
  </si>
  <si>
    <r>
      <t xml:space="preserve">    </t>
    </r>
    <r>
      <rPr>
        <b/>
        <sz val="9.8000000000000007"/>
        <color rgb="FF56A8F5"/>
        <rFont val="JetBrains Mono"/>
      </rPr>
      <t xml:space="preserve">ELSE IF    </t>
    </r>
    <r>
      <rPr>
        <b/>
        <i/>
        <sz val="9.8000000000000007"/>
        <color rgb="FFC77DBB"/>
        <rFont val="JetBrains Mono"/>
      </rPr>
      <t>"</t>
    </r>
    <r>
      <rPr>
        <b/>
        <sz val="9.8000000000000007"/>
        <color rgb="FF68A67E"/>
        <rFont val="JetBrains Mono"/>
      </rPr>
      <t>${NAME}</t>
    </r>
    <r>
      <rPr>
        <b/>
        <i/>
        <sz val="9.8000000000000007"/>
        <color rgb="FFC77DBB"/>
        <rFont val="JetBrains Mono"/>
      </rPr>
      <t>" == "Cory"</t>
    </r>
  </si>
  <si>
    <r>
      <t xml:space="preserve">           </t>
    </r>
    <r>
      <rPr>
        <b/>
        <sz val="9.8000000000000007"/>
        <color rgb="FF56A8F5"/>
        <rFont val="JetBrains Mono"/>
      </rPr>
      <t xml:space="preserve">log to console    </t>
    </r>
    <r>
      <rPr>
        <b/>
        <i/>
        <sz val="9.8000000000000007"/>
        <color rgb="FFC77DBB"/>
        <rFont val="JetBrains Mono"/>
      </rPr>
      <t>Name is Cory</t>
    </r>
  </si>
  <si>
    <r>
      <t xml:space="preserve">    </t>
    </r>
    <r>
      <rPr>
        <b/>
        <sz val="9.8000000000000007"/>
        <color rgb="FF56A8F5"/>
        <rFont val="JetBrains Mono"/>
      </rPr>
      <t>ELSE</t>
    </r>
  </si>
  <si>
    <r>
      <t xml:space="preserve">           log to console    </t>
    </r>
    <r>
      <rPr>
        <b/>
        <i/>
        <sz val="9.8000000000000007"/>
        <color rgb="FFC77DBB"/>
        <rFont val="JetBrains Mono"/>
      </rPr>
      <t>Name does not matches</t>
    </r>
  </si>
  <si>
    <r>
      <t xml:space="preserve">    </t>
    </r>
    <r>
      <rPr>
        <b/>
        <sz val="9.8000000000000007"/>
        <color rgb="FFBCBEC4"/>
        <rFont val="JetBrains Mono"/>
      </rPr>
      <t>END</t>
    </r>
  </si>
  <si>
    <t>For loop in range</t>
  </si>
  <si>
    <r>
      <t xml:space="preserve">    </t>
    </r>
    <r>
      <rPr>
        <b/>
        <sz val="9.8000000000000007"/>
        <color rgb="FFBCBEC4"/>
        <rFont val="JetBrains Mono"/>
      </rPr>
      <t xml:space="preserve">FOR    ${i}    </t>
    </r>
    <r>
      <rPr>
        <b/>
        <sz val="9.8000000000000007"/>
        <color rgb="FF56A8F5"/>
        <rFont val="JetBrains Mono"/>
      </rPr>
      <t xml:space="preserve">IN RANGE    </t>
    </r>
    <r>
      <rPr>
        <b/>
        <i/>
        <sz val="9.8000000000000007"/>
        <color rgb="FFC77DBB"/>
        <rFont val="JetBrains Mono"/>
      </rPr>
      <t>1    10    2</t>
    </r>
  </si>
  <si>
    <r>
      <t xml:space="preserve">        </t>
    </r>
    <r>
      <rPr>
        <b/>
        <sz val="9.8000000000000007"/>
        <color rgb="FF56A8F5"/>
        <rFont val="JetBrains Mono"/>
      </rPr>
      <t xml:space="preserve">log to console    </t>
    </r>
    <r>
      <rPr>
        <b/>
        <sz val="9.8000000000000007"/>
        <color rgb="FF68A67E"/>
        <rFont val="JetBrains Mono"/>
      </rPr>
      <t>${i}</t>
    </r>
  </si>
  <si>
    <r>
      <t xml:space="preserve">    </t>
    </r>
    <r>
      <rPr>
        <b/>
        <sz val="9.8000000000000007"/>
        <color rgb="FFBCBEC4"/>
        <rFont val="JetBrains Mono"/>
      </rPr>
      <t xml:space="preserve">FOR    ${i}    </t>
    </r>
    <r>
      <rPr>
        <b/>
        <sz val="9.8000000000000007"/>
        <color rgb="FF56A8F5"/>
        <rFont val="JetBrains Mono"/>
      </rPr>
      <t xml:space="preserve">IN RANGE    </t>
    </r>
    <r>
      <rPr>
        <b/>
        <i/>
        <sz val="9.8000000000000007"/>
        <color rgb="FFC77DBB"/>
        <rFont val="JetBrains Mono"/>
      </rPr>
      <t xml:space="preserve">&lt;start&gt;    &lt;end&gt;    &lt;step&gt; </t>
    </r>
  </si>
  <si>
    <t>In the range, by default start is 0, and step is optional</t>
  </si>
  <si>
    <t>For loop in list of elements</t>
  </si>
  <si>
    <r>
      <t xml:space="preserve">    </t>
    </r>
    <r>
      <rPr>
        <b/>
        <sz val="9.8000000000000007"/>
        <color rgb="FFBCBEC4"/>
        <rFont val="JetBrains Mono"/>
      </rPr>
      <t xml:space="preserve">FOR    ${i}    </t>
    </r>
    <r>
      <rPr>
        <b/>
        <sz val="9.8000000000000007"/>
        <color rgb="FF56A8F5"/>
        <rFont val="JetBrains Mono"/>
      </rPr>
      <t xml:space="preserve">IN    </t>
    </r>
    <r>
      <rPr>
        <b/>
        <sz val="9.8000000000000007"/>
        <color rgb="FF68A67E"/>
        <rFont val="JetBrains Mono"/>
      </rPr>
      <t>@{city}</t>
    </r>
  </si>
  <si>
    <r>
      <t xml:space="preserve">        </t>
    </r>
    <r>
      <rPr>
        <b/>
        <sz val="9.8000000000000007"/>
        <color rgb="FF56A8F5"/>
        <rFont val="JetBrains Mono"/>
      </rPr>
      <t xml:space="preserve">exit for loop if    </t>
    </r>
    <r>
      <rPr>
        <b/>
        <i/>
        <sz val="9.8000000000000007"/>
        <color rgb="FFC77DBB"/>
        <rFont val="JetBrains Mono"/>
      </rPr>
      <t>'</t>
    </r>
    <r>
      <rPr>
        <b/>
        <sz val="9.8000000000000007"/>
        <color rgb="FF68A67E"/>
        <rFont val="JetBrains Mono"/>
      </rPr>
      <t>${i}</t>
    </r>
    <r>
      <rPr>
        <b/>
        <i/>
        <sz val="9.8000000000000007"/>
        <color rgb="FFC77DBB"/>
        <rFont val="JetBrains Mono"/>
      </rPr>
      <t>' == 'Mumbai'</t>
    </r>
  </si>
  <si>
    <r>
      <t xml:space="preserve">    </t>
    </r>
    <r>
      <rPr>
        <b/>
        <sz val="9.8000000000000007"/>
        <color rgb="FFBCBEC4"/>
        <rFont val="JetBrains Mono"/>
      </rPr>
      <t xml:space="preserve">FOR    ${i}    </t>
    </r>
    <r>
      <rPr>
        <b/>
        <sz val="9.8000000000000007"/>
        <color rgb="FF56A8F5"/>
        <rFont val="JetBrains Mono"/>
      </rPr>
      <t xml:space="preserve">IN    </t>
    </r>
    <r>
      <rPr>
        <b/>
        <sz val="9.8000000000000007"/>
        <color rgb="FF68A67E"/>
        <rFont val="JetBrains Mono"/>
      </rPr>
      <t>@&lt;list&gt;</t>
    </r>
  </si>
  <si>
    <r>
      <t xml:space="preserve">        </t>
    </r>
    <r>
      <rPr>
        <b/>
        <sz val="9.8000000000000007"/>
        <color rgb="FF56A8F5"/>
        <rFont val="JetBrains Mono"/>
      </rPr>
      <t xml:space="preserve">exit for loop if    </t>
    </r>
    <r>
      <rPr>
        <b/>
        <i/>
        <sz val="9.8000000000000007"/>
        <color rgb="FFC77DBB"/>
        <rFont val="JetBrains Mono"/>
      </rPr>
      <t>'</t>
    </r>
    <r>
      <rPr>
        <b/>
        <sz val="9.8000000000000007"/>
        <color rgb="FF68A67E"/>
        <rFont val="JetBrains Mono"/>
      </rPr>
      <t>${i}</t>
    </r>
    <r>
      <rPr>
        <b/>
        <i/>
        <sz val="9.8000000000000007"/>
        <color rgb="FFC77DBB"/>
        <rFont val="JetBrains Mono"/>
      </rPr>
      <t>' == '&lt;value&gt;'</t>
    </r>
  </si>
  <si>
    <r>
      <t xml:space="preserve">    </t>
    </r>
    <r>
      <rPr>
        <b/>
        <sz val="9.8000000000000007"/>
        <color rgb="FFBCBEC4"/>
        <rFont val="JetBrains Mono"/>
      </rPr>
      <t xml:space="preserve">${count}=    </t>
    </r>
    <r>
      <rPr>
        <b/>
        <sz val="9.8000000000000007"/>
        <color rgb="FF56A8F5"/>
        <rFont val="JetBrains Mono"/>
      </rPr>
      <t xml:space="preserve">Evaluate   </t>
    </r>
    <r>
      <rPr>
        <b/>
        <i/>
        <sz val="9.8000000000000007"/>
        <color rgb="FFC77DBB"/>
        <rFont val="JetBrains Mono"/>
      </rPr>
      <t>1</t>
    </r>
  </si>
  <si>
    <r>
      <t xml:space="preserve">    </t>
    </r>
    <r>
      <rPr>
        <b/>
        <sz val="9.8000000000000007"/>
        <color rgb="FF56A8F5"/>
        <rFont val="JetBrains Mono"/>
      </rPr>
      <t xml:space="preserve">WHILE    </t>
    </r>
    <r>
      <rPr>
        <b/>
        <sz val="9.8000000000000007"/>
        <color rgb="FF68A67E"/>
        <rFont val="JetBrains Mono"/>
      </rPr>
      <t>${count}</t>
    </r>
    <r>
      <rPr>
        <b/>
        <i/>
        <sz val="9.8000000000000007"/>
        <color rgb="FFC77DBB"/>
        <rFont val="JetBrains Mono"/>
      </rPr>
      <t xml:space="preserve"> &lt;= 5</t>
    </r>
  </si>
  <si>
    <r>
      <t xml:space="preserve">        </t>
    </r>
    <r>
      <rPr>
        <b/>
        <sz val="9.8000000000000007"/>
        <color rgb="FF56A8F5"/>
        <rFont val="JetBrains Mono"/>
      </rPr>
      <t xml:space="preserve">log to console    </t>
    </r>
    <r>
      <rPr>
        <b/>
        <sz val="9.8000000000000007"/>
        <color rgb="FF68A67E"/>
        <rFont val="JetBrains Mono"/>
      </rPr>
      <t>${count}</t>
    </r>
  </si>
  <si>
    <r>
      <t xml:space="preserve">        </t>
    </r>
    <r>
      <rPr>
        <b/>
        <sz val="9.8000000000000007"/>
        <color rgb="FFBCBEC4"/>
        <rFont val="JetBrains Mono"/>
      </rPr>
      <t xml:space="preserve">${count}=    </t>
    </r>
    <r>
      <rPr>
        <b/>
        <sz val="9.8000000000000007"/>
        <color rgb="FF56A8F5"/>
        <rFont val="JetBrains Mono"/>
      </rPr>
      <t xml:space="preserve">Evaluate    </t>
    </r>
    <r>
      <rPr>
        <b/>
        <sz val="9.8000000000000007"/>
        <color rgb="FF68A67E"/>
        <rFont val="JetBrains Mono"/>
      </rPr>
      <t>${count}</t>
    </r>
    <r>
      <rPr>
        <b/>
        <i/>
        <sz val="9.8000000000000007"/>
        <color rgb="FFC77DBB"/>
        <rFont val="JetBrains Mono"/>
      </rPr>
      <t xml:space="preserve"> + 1</t>
    </r>
  </si>
  <si>
    <t>Get multiple elements of same locator</t>
  </si>
  <si>
    <r>
      <t xml:space="preserve">@{elements}=    </t>
    </r>
    <r>
      <rPr>
        <b/>
        <sz val="9.8000000000000007"/>
        <color rgb="FF56A8F5"/>
        <rFont val="JetBrains Mono"/>
      </rPr>
      <t xml:space="preserve">get webelements    </t>
    </r>
    <r>
      <rPr>
        <b/>
        <i/>
        <sz val="9.8000000000000007"/>
        <color rgb="FFC77DBB"/>
        <rFont val="JetBrains Mono"/>
      </rPr>
      <t>xpath://select[@id='searchLanguage']//option</t>
    </r>
  </si>
  <si>
    <r>
      <t xml:space="preserve">${count}=    </t>
    </r>
    <r>
      <rPr>
        <b/>
        <sz val="9.8000000000000007"/>
        <color rgb="FF56A8F5"/>
        <rFont val="JetBrains Mono"/>
      </rPr>
      <t xml:space="preserve">get length    </t>
    </r>
    <r>
      <rPr>
        <b/>
        <sz val="9.8000000000000007"/>
        <color rgb="FF68A67E"/>
        <rFont val="JetBrains Mono"/>
      </rPr>
      <t>${elements}</t>
    </r>
  </si>
  <si>
    <t>Get count of the elements in the list</t>
  </si>
  <si>
    <t>Use the elements list</t>
  </si>
  <si>
    <r>
      <t xml:space="preserve">FOR    ${element}    </t>
    </r>
    <r>
      <rPr>
        <b/>
        <sz val="9.8000000000000007"/>
        <color rgb="FF56A8F5"/>
        <rFont val="JetBrains Mono"/>
      </rPr>
      <t xml:space="preserve">IN    </t>
    </r>
    <r>
      <rPr>
        <b/>
        <sz val="9.8000000000000007"/>
        <color rgb="FF68A67E"/>
        <rFont val="JetBrains Mono"/>
      </rPr>
      <t>@{elements}</t>
    </r>
  </si>
  <si>
    <r>
      <t xml:space="preserve">    </t>
    </r>
    <r>
      <rPr>
        <b/>
        <sz val="9.8000000000000007"/>
        <color rgb="FF7A7E85"/>
        <rFont val="JetBrains Mono"/>
      </rPr>
      <t>#${text}=    get text    ${element}</t>
    </r>
  </si>
  <si>
    <r>
      <t xml:space="preserve">    </t>
    </r>
    <r>
      <rPr>
        <b/>
        <sz val="9.8000000000000007"/>
        <color rgb="FFBCBEC4"/>
        <rFont val="JetBrains Mono"/>
      </rPr>
      <t xml:space="preserve">${text}=    </t>
    </r>
    <r>
      <rPr>
        <b/>
        <sz val="9.8000000000000007"/>
        <color rgb="FF56A8F5"/>
        <rFont val="JetBrains Mono"/>
      </rPr>
      <t xml:space="preserve">get element attribute    </t>
    </r>
    <r>
      <rPr>
        <b/>
        <sz val="9.8000000000000007"/>
        <color rgb="FF68A67E"/>
        <rFont val="JetBrains Mono"/>
      </rPr>
      <t xml:space="preserve">${element}    </t>
    </r>
    <r>
      <rPr>
        <b/>
        <i/>
        <sz val="9.8000000000000007"/>
        <color rgb="FFC77DBB"/>
        <rFont val="JetBrains Mono"/>
      </rPr>
      <t>lang</t>
    </r>
  </si>
  <si>
    <r>
      <t xml:space="preserve">    </t>
    </r>
    <r>
      <rPr>
        <b/>
        <sz val="9.8000000000000007"/>
        <color rgb="FF56A8F5"/>
        <rFont val="JetBrains Mono"/>
      </rPr>
      <t xml:space="preserve">log to console    </t>
    </r>
    <r>
      <rPr>
        <b/>
        <sz val="9.8000000000000007"/>
        <color rgb="FF68A67E"/>
        <rFont val="JetBrains Mono"/>
      </rPr>
      <t>${text}</t>
    </r>
  </si>
  <si>
    <t>Unselect checkbox</t>
  </si>
  <si>
    <r>
      <t xml:space="preserve">unselect checkbox    </t>
    </r>
    <r>
      <rPr>
        <b/>
        <i/>
        <sz val="9.8000000000000007"/>
        <color rgb="FFC77DBB"/>
        <rFont val="JetBrains Mono"/>
      </rPr>
      <t>&lt;locator&gt;</t>
    </r>
  </si>
  <si>
    <t>Assert if the checkbox is selected</t>
  </si>
  <si>
    <r>
      <t xml:space="preserve">checkbox should be selected    </t>
    </r>
    <r>
      <rPr>
        <b/>
        <i/>
        <sz val="9.8000000000000007"/>
        <color rgb="FFC77DBB"/>
        <rFont val="JetBrains Mono"/>
      </rPr>
      <t>xpath://div[4]/input[4]</t>
    </r>
  </si>
  <si>
    <r>
      <t xml:space="preserve">checkbox should be selected    </t>
    </r>
    <r>
      <rPr>
        <b/>
        <i/>
        <sz val="9.8000000000000007"/>
        <color rgb="FFC77DBB"/>
        <rFont val="JetBrains Mono"/>
      </rPr>
      <t>&lt;locator&gt;</t>
    </r>
  </si>
  <si>
    <t>Assert if the checkbox is not selected</t>
  </si>
  <si>
    <r>
      <t xml:space="preserve">checkbox should not be selected    </t>
    </r>
    <r>
      <rPr>
        <b/>
        <i/>
        <sz val="9.8000000000000007"/>
        <color rgb="FFC77DBB"/>
        <rFont val="JetBrains Mono"/>
      </rPr>
      <t>xpath://div[4]/input[4]</t>
    </r>
  </si>
  <si>
    <r>
      <t xml:space="preserve">checkbox should not be selected    </t>
    </r>
    <r>
      <rPr>
        <b/>
        <i/>
        <sz val="9.8000000000000007"/>
        <color rgb="FFC77DBB"/>
        <rFont val="JetBrains Mono"/>
      </rPr>
      <t>&lt;locator&gt;</t>
    </r>
  </si>
  <si>
    <t>Suite Setup</t>
  </si>
  <si>
    <t>Sets up the start of the test suite</t>
  </si>
  <si>
    <t>Suite Teardown</t>
  </si>
  <si>
    <t>Sets up the end actions of the test suite</t>
  </si>
  <si>
    <t>Test Setup</t>
  </si>
  <si>
    <t>Test Teardown</t>
  </si>
  <si>
    <t xml:space="preserve">Sets up the start of the test </t>
  </si>
  <si>
    <t xml:space="preserve">Sets up the end actions of the test </t>
  </si>
  <si>
    <t>*** Settings ***</t>
  </si>
  <si>
    <r>
      <rPr>
        <b/>
        <sz val="9.8000000000000007"/>
        <color rgb="FFCF8E6D"/>
        <rFont val="JetBrains Mono"/>
      </rPr>
      <t xml:space="preserve">Suite Setup    </t>
    </r>
    <r>
      <rPr>
        <b/>
        <sz val="9.8000000000000007"/>
        <color rgb="FF56A8F5"/>
        <rFont val="JetBrains Mono"/>
      </rPr>
      <t xml:space="preserve">log to console    </t>
    </r>
    <r>
      <rPr>
        <b/>
        <i/>
        <sz val="9.8000000000000007"/>
        <color rgb="FFC77DBB"/>
        <rFont val="JetBrains Mono"/>
      </rPr>
      <t>create DB Connection</t>
    </r>
  </si>
  <si>
    <r>
      <rPr>
        <b/>
        <sz val="9.8000000000000007"/>
        <color rgb="FFCF8E6D"/>
        <rFont val="JetBrains Mono"/>
      </rPr>
      <t xml:space="preserve">Suite Teardown    </t>
    </r>
    <r>
      <rPr>
        <b/>
        <sz val="9.8000000000000007"/>
        <color rgb="FF56A8F5"/>
        <rFont val="JetBrains Mono"/>
      </rPr>
      <t xml:space="preserve">log to console    </t>
    </r>
    <r>
      <rPr>
        <b/>
        <i/>
        <sz val="9.8000000000000007"/>
        <color rgb="FFC77DBB"/>
        <rFont val="JetBrains Mono"/>
      </rPr>
      <t>close DB Connection</t>
    </r>
  </si>
  <si>
    <r>
      <rPr>
        <b/>
        <sz val="9.8000000000000007"/>
        <color rgb="FFCF8E6D"/>
        <rFont val="JetBrains Mono"/>
      </rPr>
      <t xml:space="preserve">Test Setup  </t>
    </r>
    <r>
      <rPr>
        <b/>
        <sz val="9.8000000000000007"/>
        <color rgb="FF56A8F5"/>
        <rFont val="JetBrains Mono"/>
      </rPr>
      <t xml:space="preserve">log to console  </t>
    </r>
    <r>
      <rPr>
        <b/>
        <i/>
        <sz val="9.8000000000000007"/>
        <color rgb="FFC77DBB"/>
        <rFont val="JetBrains Mono"/>
      </rPr>
      <t>Launching Browser</t>
    </r>
  </si>
  <si>
    <r>
      <rPr>
        <b/>
        <sz val="9.8000000000000007"/>
        <color rgb="FFCF8E6D"/>
        <rFont val="JetBrains Mono"/>
      </rPr>
      <t xml:space="preserve">Test Teardown    </t>
    </r>
    <r>
      <rPr>
        <b/>
        <sz val="9.8000000000000007"/>
        <color rgb="FF56A8F5"/>
        <rFont val="JetBrains Mono"/>
      </rPr>
      <t xml:space="preserve">log to console    </t>
    </r>
    <r>
      <rPr>
        <b/>
        <i/>
        <sz val="9.8000000000000007"/>
        <color rgb="FFC77DBB"/>
        <rFont val="JetBrains Mono"/>
      </rPr>
      <t>Closing Browser</t>
    </r>
  </si>
  <si>
    <t>Switch between frames</t>
  </si>
  <si>
    <t>Switch between
 tabs/windows</t>
  </si>
  <si>
    <t>Switch to the original window</t>
  </si>
  <si>
    <r>
      <t xml:space="preserve">switch window    </t>
    </r>
    <r>
      <rPr>
        <b/>
        <sz val="9.8000000000000007"/>
        <color rgb="FF68A67E"/>
        <rFont val="JetBrains Mono"/>
      </rPr>
      <t>${windowHandles}</t>
    </r>
    <r>
      <rPr>
        <b/>
        <i/>
        <sz val="9.8000000000000007"/>
        <color rgb="FFC77DBB"/>
        <rFont val="JetBrains Mono"/>
      </rPr>
      <t>[0]</t>
    </r>
  </si>
  <si>
    <r>
      <t xml:space="preserve">select frame    </t>
    </r>
    <r>
      <rPr>
        <b/>
        <i/>
        <sz val="9.8000000000000007"/>
        <color rgb="FFC77DBB"/>
        <rFont val="JetBrains Mono"/>
      </rPr>
      <t>xpath://*[@id="iframeResult"]</t>
    </r>
  </si>
  <si>
    <t>Switch to the original frame</t>
  </si>
  <si>
    <t>unselect frame</t>
  </si>
  <si>
    <r>
      <t xml:space="preserve">select frame    </t>
    </r>
    <r>
      <rPr>
        <b/>
        <i/>
        <sz val="9.8000000000000007"/>
        <color rgb="FFC77DBB"/>
        <rFont val="JetBrains Mono"/>
      </rPr>
      <t>&lt;locator&gt;</t>
    </r>
  </si>
  <si>
    <r>
      <t xml:space="preserve">${alert}=    </t>
    </r>
    <r>
      <rPr>
        <b/>
        <sz val="9.8000000000000007"/>
        <color rgb="FF56A8F5"/>
        <rFont val="JetBrains Mono"/>
      </rPr>
      <t xml:space="preserve">handle alert    </t>
    </r>
    <r>
      <rPr>
        <b/>
        <i/>
        <sz val="9.8000000000000007"/>
        <color rgb="FFC77DBB"/>
        <rFont val="JetBrains Mono"/>
      </rPr>
      <t>action=DISMISS</t>
    </r>
  </si>
  <si>
    <t>Alerts who come on the page outside of the page DOM</t>
  </si>
  <si>
    <t>Accept Alert</t>
  </si>
  <si>
    <t>Dismiss Alert</t>
  </si>
  <si>
    <r>
      <t xml:space="preserve">${alert}=    </t>
    </r>
    <r>
      <rPr>
        <b/>
        <sz val="9.8000000000000007"/>
        <color rgb="FF56A8F5"/>
        <rFont val="JetBrains Mono"/>
      </rPr>
      <t>handle alert</t>
    </r>
  </si>
  <si>
    <t>Input text into alert and accept it</t>
  </si>
  <si>
    <t>Input text into alert and reject it</t>
  </si>
  <si>
    <r>
      <t xml:space="preserve">input text into alert    </t>
    </r>
    <r>
      <rPr>
        <b/>
        <i/>
        <sz val="9.8000000000000007"/>
        <color rgb="FFC77DBB"/>
        <rFont val="JetBrains Mono"/>
      </rPr>
      <t>&lt;value&gt;</t>
    </r>
  </si>
  <si>
    <r>
      <t xml:space="preserve">input text into alert    </t>
    </r>
    <r>
      <rPr>
        <b/>
        <i/>
        <sz val="9.8000000000000007"/>
        <color rgb="FFC77DBB"/>
        <rFont val="JetBrains Mono"/>
      </rPr>
      <t>&lt;value&gt;    action=DISMISS</t>
    </r>
  </si>
  <si>
    <r>
      <t xml:space="preserve">input text into alert    </t>
    </r>
    <r>
      <rPr>
        <b/>
        <i/>
        <sz val="9.8000000000000007"/>
        <color rgb="FFC77DBB"/>
        <rFont val="JetBrains Mono"/>
      </rPr>
      <t xml:space="preserve">Luke Skywalker </t>
    </r>
  </si>
  <si>
    <r>
      <t xml:space="preserve">input text into alert    </t>
    </r>
    <r>
      <rPr>
        <b/>
        <i/>
        <sz val="9.8000000000000007"/>
        <color rgb="FFC77DBB"/>
        <rFont val="JetBrains Mono"/>
      </rPr>
      <t>Luke Skywalker    action=DISMISS</t>
    </r>
  </si>
  <si>
    <t>Mouse Actions</t>
  </si>
  <si>
    <t>mouse over</t>
  </si>
  <si>
    <r>
      <t xml:space="preserve">mouse over    </t>
    </r>
    <r>
      <rPr>
        <b/>
        <i/>
        <sz val="9.8000000000000007"/>
        <color rgb="FFC77DBB"/>
        <rFont val="JetBrains Mono"/>
      </rPr>
      <t>xpath://*[@id="menu-item-27580"]/a/span[2]</t>
    </r>
  </si>
  <si>
    <r>
      <t xml:space="preserve">mouse over    </t>
    </r>
    <r>
      <rPr>
        <b/>
        <i/>
        <sz val="9.8000000000000007"/>
        <color rgb="FFC77DBB"/>
        <rFont val="JetBrains Mono"/>
      </rPr>
      <t>&lt;locator&gt;</t>
    </r>
  </si>
  <si>
    <t>Slider</t>
  </si>
  <si>
    <r>
      <t xml:space="preserve">drag and drop by offset    </t>
    </r>
    <r>
      <rPr>
        <b/>
        <i/>
        <sz val="9.8000000000000007"/>
        <color rgb="FFC77DBB"/>
        <rFont val="JetBrains Mono"/>
      </rPr>
      <t>xpath://*[@id="slider"]/span    400    0</t>
    </r>
  </si>
  <si>
    <r>
      <t xml:space="preserve">drag and drop by offset    </t>
    </r>
    <r>
      <rPr>
        <b/>
        <i/>
        <sz val="9.8000000000000007"/>
        <color rgb="FFC77DBB"/>
        <rFont val="JetBrains Mono"/>
      </rPr>
      <t>&lt;locator&gt;    &lt;x_offset&gt;    &lt;y_offset&gt;</t>
    </r>
  </si>
  <si>
    <r>
      <t xml:space="preserve">drag and drop by offset    </t>
    </r>
    <r>
      <rPr>
        <b/>
        <i/>
        <sz val="9.8000000000000007"/>
        <color rgb="FFC77DBB"/>
        <rFont val="JetBrains Mono"/>
      </rPr>
      <t>&lt;locator&gt;    &lt;x_offset&gt;    &lt;y_offset&gt;</t>
    </r>
    <r>
      <rPr>
        <b/>
        <sz val="9.8000000000000007"/>
        <color rgb="FF56A8F5"/>
        <rFont val="JetBrains Mono"/>
      </rPr>
      <t xml:space="preserve"> (0 by default)</t>
    </r>
  </si>
  <si>
    <t>Resizeable element</t>
  </si>
  <si>
    <r>
      <t xml:space="preserve">drag and drop by offset    </t>
    </r>
    <r>
      <rPr>
        <b/>
        <i/>
        <sz val="9.8000000000000007"/>
        <color rgb="FFC77DBB"/>
        <rFont val="JetBrains Mono"/>
      </rPr>
      <t>xpath://*[@id="slider"]/span    400    600</t>
    </r>
  </si>
  <si>
    <r>
      <t xml:space="preserve">drag and drop    </t>
    </r>
    <r>
      <rPr>
        <b/>
        <i/>
        <sz val="9.8000000000000007"/>
        <color rgb="FFC77DBB"/>
        <rFont val="JetBrains Mono"/>
      </rPr>
      <t>id:draggable    id:droppable</t>
    </r>
  </si>
  <si>
    <r>
      <t xml:space="preserve">drag and drop    </t>
    </r>
    <r>
      <rPr>
        <b/>
        <i/>
        <sz val="9.8000000000000007"/>
        <color rgb="FFC77DBB"/>
        <rFont val="JetBrains Mono"/>
      </rPr>
      <t>&lt;source_locator&gt;    &lt;destination_locator&gt;</t>
    </r>
  </si>
  <si>
    <t>Drop the element somewhere else on the page</t>
  </si>
  <si>
    <r>
      <t xml:space="preserve">drag and drop by offset    </t>
    </r>
    <r>
      <rPr>
        <b/>
        <i/>
        <sz val="9.8000000000000007"/>
        <color rgb="FFC77DBB"/>
        <rFont val="JetBrains Mono"/>
      </rPr>
      <t>&lt;source_locator&gt;    &lt;x_offset&gt;    &lt;y_offset&gt;</t>
    </r>
  </si>
  <si>
    <r>
      <t xml:space="preserve">drag and drop by offset    </t>
    </r>
    <r>
      <rPr>
        <b/>
        <i/>
        <sz val="9.8000000000000007"/>
        <color rgb="FFC77DBB"/>
        <rFont val="JetBrains Mono"/>
      </rPr>
      <t>id:draggable    400    200</t>
    </r>
  </si>
  <si>
    <t>right-click</t>
  </si>
  <si>
    <r>
      <t xml:space="preserve">open context menu    </t>
    </r>
    <r>
      <rPr>
        <b/>
        <i/>
        <sz val="9.8000000000000007"/>
        <color rgb="FFC77DBB"/>
        <rFont val="JetBrains Mono"/>
      </rPr>
      <t>xpath:/html/body/div/table/tbody/tr/td[2]/div[2]/table[1]/tbody/tr/td[3]/p[2]/img</t>
    </r>
  </si>
  <si>
    <r>
      <t xml:space="preserve">open context menu    </t>
    </r>
    <r>
      <rPr>
        <b/>
        <i/>
        <sz val="9.8000000000000007"/>
        <color rgb="FFC77DBB"/>
        <rFont val="JetBrains Mono"/>
      </rPr>
      <t>&lt;locator&gt;</t>
    </r>
  </si>
  <si>
    <t>Javascript execution</t>
  </si>
  <si>
    <r>
      <t xml:space="preserve">execute javascript    </t>
    </r>
    <r>
      <rPr>
        <b/>
        <i/>
        <sz val="9.8000000000000007"/>
        <color rgb="FFC77DBB"/>
        <rFont val="JetBrains Mono"/>
      </rPr>
      <t xml:space="preserve">arguments[0].style.border='3px solid red'    ARGUMENTS    </t>
    </r>
    <r>
      <rPr>
        <b/>
        <sz val="9.8000000000000007"/>
        <color rgb="FF68A67E"/>
        <rFont val="JetBrains Mono"/>
      </rPr>
      <t>${element}</t>
    </r>
  </si>
  <si>
    <r>
      <t xml:space="preserve">execute javascript    </t>
    </r>
    <r>
      <rPr>
        <b/>
        <i/>
        <sz val="9.8000000000000007"/>
        <color rgb="FFC77DBB"/>
        <rFont val="JetBrains Mono"/>
      </rPr>
      <t xml:space="preserve">&lt;javascript&gt;    ARGUMENTS    </t>
    </r>
    <r>
      <rPr>
        <b/>
        <sz val="9.8000000000000007"/>
        <color rgb="FF68A67E"/>
        <rFont val="JetBrains Mono"/>
      </rPr>
      <t>${element}</t>
    </r>
  </si>
  <si>
    <t>Take screenshot</t>
  </si>
  <si>
    <t>Element Screenshot</t>
  </si>
  <si>
    <t>Full-page screenshot</t>
  </si>
  <si>
    <r>
      <t xml:space="preserve">capture element screenshot    </t>
    </r>
    <r>
      <rPr>
        <b/>
        <sz val="9.8000000000000007"/>
        <color rgb="FF68A67E"/>
        <rFont val="JetBrains Mono"/>
      </rPr>
      <t xml:space="preserve">${element}    </t>
    </r>
    <r>
      <rPr>
        <b/>
        <i/>
        <sz val="9.8000000000000007"/>
        <color rgb="FFC77DBB"/>
        <rFont val="JetBrains Mono"/>
      </rPr>
      <t>EMBED</t>
    </r>
  </si>
  <si>
    <r>
      <t xml:space="preserve">capture page screenshot    </t>
    </r>
    <r>
      <rPr>
        <b/>
        <i/>
        <sz val="9.8000000000000007"/>
        <color rgb="FFC77DBB"/>
        <rFont val="JetBrains Mono"/>
      </rPr>
      <t>fullpage.png</t>
    </r>
  </si>
  <si>
    <r>
      <t xml:space="preserve">capture page screenshot    </t>
    </r>
    <r>
      <rPr>
        <b/>
        <i/>
        <sz val="9.8000000000000007"/>
        <color rgb="FFC77DBB"/>
        <rFont val="JetBrains Mono"/>
      </rPr>
      <t>EMBED</t>
    </r>
  </si>
  <si>
    <t>Embed the SS in report</t>
  </si>
  <si>
    <t>Pytest file naming convention</t>
  </si>
  <si>
    <t>Start the filename with 'test'</t>
  </si>
  <si>
    <t>test_demoTests.py</t>
  </si>
  <si>
    <t>Pytest tests naming convention</t>
  </si>
  <si>
    <t>Start the method name with 'test'</t>
  </si>
  <si>
    <t>def test_firstTest:
    print("Hello")</t>
  </si>
  <si>
    <t>Pytest execution flags</t>
  </si>
  <si>
    <t>Run pytest testcases for the whole suite</t>
  </si>
  <si>
    <t>pytest</t>
  </si>
  <si>
    <t>see print statements in the console</t>
  </si>
  <si>
    <t>pytest -s</t>
  </si>
  <si>
    <t>Verbose. Show more data on the console</t>
  </si>
  <si>
    <t>pytest -v</t>
  </si>
  <si>
    <t>Even more details</t>
  </si>
  <si>
    <t>pytest -vv</t>
  </si>
  <si>
    <t>Decrease verbosity. Show less details</t>
  </si>
  <si>
    <t>pytest -q</t>
  </si>
  <si>
    <t>pytest -quiet</t>
  </si>
  <si>
    <t>Python Test Fixtures</t>
  </si>
  <si>
    <t>Used for defining actions to be performed in setup and teardown of the tests</t>
  </si>
  <si>
    <t>Before each test function</t>
  </si>
  <si>
    <t>setup_function</t>
  </si>
  <si>
    <r>
      <t xml:space="preserve">def </t>
    </r>
    <r>
      <rPr>
        <b/>
        <sz val="9.8000000000000007"/>
        <color rgb="FF56A8F5"/>
        <rFont val="JetBrains Mono"/>
      </rPr>
      <t>setup_function</t>
    </r>
    <r>
      <rPr>
        <b/>
        <sz val="9.8000000000000007"/>
        <color rgb="FFBCBEC4"/>
        <rFont val="JetBrains Mono"/>
      </rPr>
      <t>(</t>
    </r>
    <r>
      <rPr>
        <b/>
        <sz val="9.8000000000000007"/>
        <color rgb="FF6F737A"/>
        <rFont val="JetBrains Mono"/>
      </rPr>
      <t>function</t>
    </r>
    <r>
      <rPr>
        <b/>
        <sz val="9.8000000000000007"/>
        <color rgb="FFBCBEC4"/>
        <rFont val="JetBrains Mono"/>
      </rPr>
      <t>):</t>
    </r>
    <r>
      <rPr>
        <b/>
        <sz val="9.8000000000000007"/>
        <color rgb="FFCF8E6D"/>
        <rFont val="JetBrains Mono"/>
      </rPr>
      <t xml:space="preserve">
    </t>
    </r>
    <r>
      <rPr>
        <b/>
        <sz val="9.8000000000000007"/>
        <color rgb="FF8C87C7"/>
        <rFont val="JetBrains Mono"/>
      </rPr>
      <t>print</t>
    </r>
    <r>
      <rPr>
        <b/>
        <sz val="9.8000000000000007"/>
        <color rgb="FFBCBEC4"/>
        <rFont val="JetBrains Mono"/>
      </rPr>
      <t>(</t>
    </r>
    <r>
      <rPr>
        <b/>
        <sz val="9.8000000000000007"/>
        <color rgb="FF6AAB73"/>
        <rFont val="JetBrains Mono"/>
      </rPr>
      <t>"Setup for test function"</t>
    </r>
    <r>
      <rPr>
        <b/>
        <sz val="9.8000000000000007"/>
        <color rgb="FFBCBEC4"/>
        <rFont val="JetBrains Mono"/>
      </rPr>
      <t>)</t>
    </r>
  </si>
  <si>
    <t>After each function</t>
  </si>
  <si>
    <r>
      <t xml:space="preserve">def </t>
    </r>
    <r>
      <rPr>
        <b/>
        <sz val="9.8000000000000007"/>
        <color rgb="FF56A8F5"/>
        <rFont val="JetBrains Mono"/>
      </rPr>
      <t>teardown_function</t>
    </r>
    <r>
      <rPr>
        <b/>
        <sz val="9.8000000000000007"/>
        <color rgb="FFBCBEC4"/>
        <rFont val="JetBrains Mono"/>
      </rPr>
      <t>(</t>
    </r>
    <r>
      <rPr>
        <b/>
        <sz val="9.8000000000000007"/>
        <color rgb="FF6F737A"/>
        <rFont val="JetBrains Mono"/>
      </rPr>
      <t>function</t>
    </r>
    <r>
      <rPr>
        <b/>
        <sz val="9.8000000000000007"/>
        <color rgb="FFBCBEC4"/>
        <rFont val="JetBrains Mono"/>
      </rPr>
      <t>):</t>
    </r>
    <r>
      <rPr>
        <b/>
        <sz val="9.8000000000000007"/>
        <color rgb="FFCF8E6D"/>
        <rFont val="JetBrains Mono"/>
      </rPr>
      <t xml:space="preserve">
    # yield
    </t>
    </r>
    <r>
      <rPr>
        <b/>
        <sz val="9.8000000000000007"/>
        <color rgb="FF8C87C7"/>
        <rFont val="JetBrains Mono"/>
      </rPr>
      <t>print</t>
    </r>
    <r>
      <rPr>
        <b/>
        <sz val="9.8000000000000007"/>
        <color rgb="FFBCBEC4"/>
        <rFont val="JetBrains Mono"/>
      </rPr>
      <t>(</t>
    </r>
    <r>
      <rPr>
        <b/>
        <sz val="9.8000000000000007"/>
        <color rgb="FF6AAB73"/>
        <rFont val="JetBrains Mono"/>
      </rPr>
      <t>"Teardown for test function"</t>
    </r>
    <r>
      <rPr>
        <b/>
        <sz val="9.8000000000000007"/>
        <color rgb="FFBCBEC4"/>
        <rFont val="JetBrains Mono"/>
      </rPr>
      <t>)</t>
    </r>
  </si>
  <si>
    <t>teardown_function</t>
  </si>
  <si>
    <t>write 'yield' at the end of the setup fucntion</t>
  </si>
  <si>
    <t>Module-level fixtures</t>
  </si>
  <si>
    <t>setup_module</t>
  </si>
  <si>
    <t>teardown_module</t>
  </si>
  <si>
    <r>
      <t xml:space="preserve">def </t>
    </r>
    <r>
      <rPr>
        <b/>
        <sz val="9.8000000000000007"/>
        <color rgb="FF56A8F5"/>
        <rFont val="JetBrains Mono"/>
      </rPr>
      <t>teardown_module</t>
    </r>
    <r>
      <rPr>
        <b/>
        <sz val="9.8000000000000007"/>
        <color rgb="FFBCBEC4"/>
        <rFont val="JetBrains Mono"/>
      </rPr>
      <t>(</t>
    </r>
    <r>
      <rPr>
        <b/>
        <sz val="9.8000000000000007"/>
        <color rgb="FF6F737A"/>
        <rFont val="JetBrains Mono"/>
      </rPr>
      <t>module</t>
    </r>
    <r>
      <rPr>
        <b/>
        <sz val="9.8000000000000007"/>
        <color rgb="FFBCBEC4"/>
        <rFont val="JetBrains Mono"/>
      </rPr>
      <t>):</t>
    </r>
    <r>
      <rPr>
        <b/>
        <sz val="9.8000000000000007"/>
        <color rgb="FFCF8E6D"/>
        <rFont val="JetBrains Mono"/>
      </rPr>
      <t xml:space="preserve">
    # yield
    </t>
    </r>
    <r>
      <rPr>
        <b/>
        <sz val="9.8000000000000007"/>
        <color rgb="FF8C87C7"/>
        <rFont val="JetBrains Mono"/>
      </rPr>
      <t>print</t>
    </r>
    <r>
      <rPr>
        <b/>
        <sz val="9.8000000000000007"/>
        <color rgb="FFBCBEC4"/>
        <rFont val="JetBrains Mono"/>
      </rPr>
      <t>(</t>
    </r>
    <r>
      <rPr>
        <b/>
        <sz val="9.8000000000000007"/>
        <color rgb="FF6AAB73"/>
        <rFont val="JetBrains Mono"/>
      </rPr>
      <t>"Teardown for test function"</t>
    </r>
    <r>
      <rPr>
        <b/>
        <sz val="9.8000000000000007"/>
        <color rgb="FFBCBEC4"/>
        <rFont val="JetBrains Mono"/>
      </rPr>
      <t>)</t>
    </r>
  </si>
  <si>
    <r>
      <t xml:space="preserve">def </t>
    </r>
    <r>
      <rPr>
        <b/>
        <sz val="9.8000000000000007"/>
        <color rgb="FF56A8F5"/>
        <rFont val="JetBrains Mono"/>
      </rPr>
      <t>setup_module</t>
    </r>
    <r>
      <rPr>
        <b/>
        <sz val="9.8000000000000007"/>
        <color rgb="FFBCBEC4"/>
        <rFont val="JetBrains Mono"/>
      </rPr>
      <t>(</t>
    </r>
    <r>
      <rPr>
        <b/>
        <sz val="9.8000000000000007"/>
        <color rgb="FF6F737A"/>
        <rFont val="JetBrains Mono"/>
      </rPr>
      <t>module</t>
    </r>
    <r>
      <rPr>
        <b/>
        <sz val="9.8000000000000007"/>
        <color rgb="FFBCBEC4"/>
        <rFont val="JetBrains Mono"/>
      </rPr>
      <t>):</t>
    </r>
    <r>
      <rPr>
        <b/>
        <sz val="9.8000000000000007"/>
        <color rgb="FFCF8E6D"/>
        <rFont val="JetBrains Mono"/>
      </rPr>
      <t xml:space="preserve">
    </t>
    </r>
    <r>
      <rPr>
        <b/>
        <sz val="9.8000000000000007"/>
        <color rgb="FF8C87C7"/>
        <rFont val="JetBrains Mono"/>
      </rPr>
      <t>print</t>
    </r>
    <r>
      <rPr>
        <b/>
        <sz val="9.8000000000000007"/>
        <color rgb="FFBCBEC4"/>
        <rFont val="JetBrains Mono"/>
      </rPr>
      <t>(</t>
    </r>
    <r>
      <rPr>
        <b/>
        <sz val="9.8000000000000007"/>
        <color rgb="FF6AAB73"/>
        <rFont val="JetBrains Mono"/>
      </rPr>
      <t>"Setup for test function"</t>
    </r>
    <r>
      <rPr>
        <b/>
        <sz val="9.8000000000000007"/>
        <color rgb="FFBCBEC4"/>
        <rFont val="JetBrains Mono"/>
      </rPr>
      <t>)</t>
    </r>
  </si>
  <si>
    <t>Fixtures with python decorators</t>
  </si>
  <si>
    <r>
      <rPr>
        <b/>
        <sz val="9.8000000000000007"/>
        <color rgb="FFCF8E6D"/>
        <rFont val="JetBrains Mono"/>
      </rPr>
      <t xml:space="preserve">def </t>
    </r>
    <r>
      <rPr>
        <b/>
        <sz val="9.8000000000000007"/>
        <color rgb="FF56A8F5"/>
        <rFont val="JetBrains Mono"/>
      </rPr>
      <t>db_setup</t>
    </r>
    <r>
      <rPr>
        <b/>
        <sz val="9.8000000000000007"/>
        <color rgb="FFBCBEC4"/>
        <rFont val="JetBrains Mono"/>
      </rPr>
      <t>():</t>
    </r>
  </si>
  <si>
    <r>
      <rPr>
        <b/>
        <sz val="9.8000000000000007"/>
        <color rgb="FFBCBEC4"/>
        <rFont val="JetBrains Mono"/>
      </rPr>
      <t xml:space="preserve">    </t>
    </r>
    <r>
      <rPr>
        <b/>
        <sz val="9.8000000000000007"/>
        <color rgb="FF8888C6"/>
        <rFont val="JetBrains Mono"/>
      </rPr>
      <t>print</t>
    </r>
    <r>
      <rPr>
        <b/>
        <sz val="9.8000000000000007"/>
        <color rgb="FFBCBEC4"/>
        <rFont val="JetBrains Mono"/>
      </rPr>
      <t>(</t>
    </r>
    <r>
      <rPr>
        <b/>
        <sz val="9.8000000000000007"/>
        <color rgb="FF6AAB73"/>
        <rFont val="JetBrains Mono"/>
      </rPr>
      <t>"DB Connection is set"</t>
    </r>
    <r>
      <rPr>
        <b/>
        <sz val="9.8000000000000007"/>
        <color rgb="FFBCBEC4"/>
        <rFont val="JetBrains Mono"/>
      </rPr>
      <t>)</t>
    </r>
  </si>
  <si>
    <r>
      <rPr>
        <b/>
        <sz val="9.8000000000000007"/>
        <color rgb="FFBCBEC4"/>
        <rFont val="JetBrains Mono"/>
      </rPr>
      <t xml:space="preserve">    </t>
    </r>
    <r>
      <rPr>
        <b/>
        <sz val="9.8000000000000007"/>
        <color rgb="FFCF8E6D"/>
        <rFont val="JetBrains Mono"/>
      </rPr>
      <t>yield</t>
    </r>
  </si>
  <si>
    <r>
      <rPr>
        <b/>
        <sz val="9.8000000000000007"/>
        <color rgb="FFCF8E6D"/>
        <rFont val="JetBrains Mono"/>
      </rPr>
      <t xml:space="preserve">    </t>
    </r>
    <r>
      <rPr>
        <b/>
        <sz val="9.8000000000000007"/>
        <color rgb="FF8888C6"/>
        <rFont val="JetBrains Mono"/>
      </rPr>
      <t>print</t>
    </r>
    <r>
      <rPr>
        <b/>
        <sz val="9.8000000000000007"/>
        <color rgb="FFBCBEC4"/>
        <rFont val="JetBrains Mono"/>
      </rPr>
      <t>(</t>
    </r>
    <r>
      <rPr>
        <b/>
        <sz val="9.8000000000000007"/>
        <color rgb="FF6AAB73"/>
        <rFont val="JetBrains Mono"/>
      </rPr>
      <t>"DB Connection is closed"</t>
    </r>
    <r>
      <rPr>
        <b/>
        <sz val="9.8000000000000007"/>
        <color rgb="FFBCBEC4"/>
        <rFont val="JetBrains Mono"/>
      </rPr>
      <t>)</t>
    </r>
  </si>
  <si>
    <r>
      <t>@pytest.fixture</t>
    </r>
    <r>
      <rPr>
        <b/>
        <sz val="9.8000000000000007"/>
        <color rgb="FFBCBEC4"/>
        <rFont val="JetBrains Mono"/>
      </rPr>
      <t>(</t>
    </r>
    <r>
      <rPr>
        <b/>
        <sz val="9.8000000000000007"/>
        <color rgb="FFAA4926"/>
        <rFont val="JetBrains Mono"/>
      </rPr>
      <t>scope</t>
    </r>
    <r>
      <rPr>
        <b/>
        <sz val="9.8000000000000007"/>
        <color rgb="FFBCBEC4"/>
        <rFont val="JetBrains Mono"/>
      </rPr>
      <t>=</t>
    </r>
    <r>
      <rPr>
        <b/>
        <sz val="9.8000000000000007"/>
        <color rgb="FF6AAB73"/>
        <rFont val="JetBrains Mono"/>
      </rPr>
      <t>"module"</t>
    </r>
    <r>
      <rPr>
        <b/>
        <sz val="9.8000000000000007"/>
        <color rgb="FFBCBEC4"/>
        <rFont val="JetBrains Mono"/>
      </rPr>
      <t>)</t>
    </r>
  </si>
  <si>
    <t>Module-level</t>
  </si>
  <si>
    <t>setup</t>
  </si>
  <si>
    <t>body</t>
  </si>
  <si>
    <t>teardown</t>
  </si>
  <si>
    <r>
      <rPr>
        <b/>
        <sz val="9.8000000000000007"/>
        <color rgb="FFCF8E6D"/>
        <rFont val="JetBrains Mono"/>
      </rPr>
      <t xml:space="preserve">def </t>
    </r>
    <r>
      <rPr>
        <b/>
        <sz val="9.8000000000000007"/>
        <color rgb="FF56A8F5"/>
        <rFont val="JetBrains Mono"/>
      </rPr>
      <t>browser_setup</t>
    </r>
    <r>
      <rPr>
        <b/>
        <sz val="9.8000000000000007"/>
        <color rgb="FFBCBEC4"/>
        <rFont val="JetBrains Mono"/>
      </rPr>
      <t>():</t>
    </r>
  </si>
  <si>
    <r>
      <rPr>
        <b/>
        <sz val="9.8000000000000007"/>
        <color rgb="FFBCBEC4"/>
        <rFont val="JetBrains Mono"/>
      </rPr>
      <t xml:space="preserve">    </t>
    </r>
    <r>
      <rPr>
        <b/>
        <sz val="9.8000000000000007"/>
        <color rgb="FF8888C6"/>
        <rFont val="JetBrains Mono"/>
      </rPr>
      <t>print</t>
    </r>
    <r>
      <rPr>
        <b/>
        <sz val="9.8000000000000007"/>
        <color rgb="FFBCBEC4"/>
        <rFont val="JetBrains Mono"/>
      </rPr>
      <t>(</t>
    </r>
    <r>
      <rPr>
        <b/>
        <sz val="9.8000000000000007"/>
        <color rgb="FF6AAB73"/>
        <rFont val="JetBrains Mono"/>
      </rPr>
      <t>"Browser is launched"</t>
    </r>
    <r>
      <rPr>
        <b/>
        <sz val="9.8000000000000007"/>
        <color rgb="FFBCBEC4"/>
        <rFont val="JetBrains Mono"/>
      </rPr>
      <t>)</t>
    </r>
  </si>
  <si>
    <r>
      <rPr>
        <b/>
        <sz val="9.8000000000000007"/>
        <color rgb="FFCF8E6D"/>
        <rFont val="JetBrains Mono"/>
      </rPr>
      <t xml:space="preserve">    </t>
    </r>
    <r>
      <rPr>
        <b/>
        <sz val="9.8000000000000007"/>
        <color rgb="FF8888C6"/>
        <rFont val="JetBrains Mono"/>
      </rPr>
      <t>print</t>
    </r>
    <r>
      <rPr>
        <b/>
        <sz val="9.8000000000000007"/>
        <color rgb="FFBCBEC4"/>
        <rFont val="JetBrains Mono"/>
      </rPr>
      <t>(</t>
    </r>
    <r>
      <rPr>
        <b/>
        <sz val="9.8000000000000007"/>
        <color rgb="FF6AAB73"/>
        <rFont val="JetBrains Mono"/>
      </rPr>
      <t>"Browser is closed"</t>
    </r>
    <r>
      <rPr>
        <b/>
        <sz val="9.8000000000000007"/>
        <color rgb="FFBCBEC4"/>
        <rFont val="JetBrains Mono"/>
      </rPr>
      <t>)</t>
    </r>
  </si>
  <si>
    <t>Function-level</t>
  </si>
  <si>
    <r>
      <t>@pytest.fixture</t>
    </r>
    <r>
      <rPr>
        <b/>
        <sz val="9.8000000000000007"/>
        <color rgb="FFBCBEC4"/>
        <rFont val="JetBrains Mono"/>
      </rPr>
      <t>(</t>
    </r>
    <r>
      <rPr>
        <b/>
        <sz val="9.8000000000000007"/>
        <color rgb="FFAA4926"/>
        <rFont val="JetBrains Mono"/>
      </rPr>
      <t>scope</t>
    </r>
    <r>
      <rPr>
        <b/>
        <sz val="9.8000000000000007"/>
        <color rgb="FFBCBEC4"/>
        <rFont val="JetBrains Mono"/>
      </rPr>
      <t>=</t>
    </r>
    <r>
      <rPr>
        <b/>
        <sz val="9.8000000000000007"/>
        <color rgb="FF6AAB73"/>
        <rFont val="JetBrains Mono"/>
      </rPr>
      <t>"function"</t>
    </r>
    <r>
      <rPr>
        <b/>
        <sz val="9.8000000000000007"/>
        <color rgb="FFBCBEC4"/>
        <rFont val="JetBrains Mono"/>
      </rPr>
      <t>)</t>
    </r>
  </si>
  <si>
    <r>
      <t>@pytest.mark.usefixtures</t>
    </r>
    <r>
      <rPr>
        <b/>
        <sz val="9.8000000000000007"/>
        <color rgb="FFBCBEC4"/>
        <rFont val="JetBrains Mono"/>
      </rPr>
      <t>(</t>
    </r>
    <r>
      <rPr>
        <b/>
        <sz val="9.8000000000000007"/>
        <color rgb="FF6AAB73"/>
        <rFont val="JetBrains Mono"/>
      </rPr>
      <t>"db_setup"</t>
    </r>
    <r>
      <rPr>
        <b/>
        <sz val="9.8000000000000007"/>
        <color rgb="FFBCBEC4"/>
        <rFont val="JetBrains Mono"/>
      </rPr>
      <t xml:space="preserve">, </t>
    </r>
    <r>
      <rPr>
        <b/>
        <sz val="9.8000000000000007"/>
        <color rgb="FF6AAB73"/>
        <rFont val="JetBrains Mono"/>
      </rPr>
      <t>"browser_setup"</t>
    </r>
    <r>
      <rPr>
        <b/>
        <sz val="9.8000000000000007"/>
        <color rgb="FFBCBEC4"/>
        <rFont val="JetBrains Mono"/>
      </rPr>
      <t>)</t>
    </r>
  </si>
  <si>
    <r>
      <t xml:space="preserve">def </t>
    </r>
    <r>
      <rPr>
        <b/>
        <sz val="9.8000000000000007"/>
        <color rgb="FF56A8F5"/>
        <rFont val="JetBrains Mono"/>
      </rPr>
      <t>test_user_login</t>
    </r>
    <r>
      <rPr>
        <b/>
        <sz val="9.8000000000000007"/>
        <color rgb="FFBCBEC4"/>
        <rFont val="JetBrains Mono"/>
      </rPr>
      <t>():</t>
    </r>
  </si>
  <si>
    <r>
      <t xml:space="preserve">    </t>
    </r>
    <r>
      <rPr>
        <b/>
        <sz val="9.8000000000000007"/>
        <color rgb="FF8888C6"/>
        <rFont val="JetBrains Mono"/>
      </rPr>
      <t>print</t>
    </r>
    <r>
      <rPr>
        <b/>
        <sz val="9.8000000000000007"/>
        <color rgb="FFBCBEC4"/>
        <rFont val="JetBrains Mono"/>
      </rPr>
      <t>(</t>
    </r>
    <r>
      <rPr>
        <b/>
        <sz val="9.8000000000000007"/>
        <color rgb="FF6AAB73"/>
        <rFont val="JetBrains Mono"/>
      </rPr>
      <t>"User Logged in successfully"</t>
    </r>
    <r>
      <rPr>
        <b/>
        <sz val="9.8000000000000007"/>
        <color rgb="FFBCBEC4"/>
        <rFont val="JetBrains Mono"/>
      </rPr>
      <t>)</t>
    </r>
  </si>
  <si>
    <r>
      <t xml:space="preserve">    </t>
    </r>
    <r>
      <rPr>
        <b/>
        <sz val="9.8000000000000007"/>
        <color rgb="FFCF8E6D"/>
        <rFont val="JetBrains Mono"/>
      </rPr>
      <t>assert True</t>
    </r>
  </si>
  <si>
    <r>
      <t xml:space="preserve">def </t>
    </r>
    <r>
      <rPr>
        <b/>
        <sz val="9.8000000000000007"/>
        <color rgb="FF56A8F5"/>
        <rFont val="JetBrains Mono"/>
      </rPr>
      <t>test_user_login</t>
    </r>
    <r>
      <rPr>
        <b/>
        <sz val="9.8000000000000007"/>
        <color rgb="FFBCBEC4"/>
        <rFont val="JetBrains Mono"/>
      </rPr>
      <t>(</t>
    </r>
    <r>
      <rPr>
        <b/>
        <sz val="9.8000000000000007"/>
        <color rgb="FF6AAB73"/>
        <rFont val="JetBrains Mono"/>
      </rPr>
      <t>"db_setup", "browser_setup"</t>
    </r>
    <r>
      <rPr>
        <b/>
        <sz val="9.8000000000000007"/>
        <color rgb="FFBCBEC4"/>
        <rFont val="JetBrains Mono"/>
      </rPr>
      <t>):</t>
    </r>
  </si>
  <si>
    <t>Declaration in method</t>
  </si>
  <si>
    <t>Another declaration method</t>
  </si>
  <si>
    <t>Fixtures are defined in the decorators</t>
  </si>
  <si>
    <t>Select only a few testcases</t>
  </si>
  <si>
    <t>pytest -k &lt;keyword in the function&gt;</t>
  </si>
  <si>
    <t>pytest -k login</t>
  </si>
  <si>
    <t>Pytest Markers</t>
  </si>
  <si>
    <t>Used to group testcases and execute a small group</t>
  </si>
  <si>
    <t>Similar to the tags in cucumber/Behave or testNG</t>
  </si>
  <si>
    <t>Execute a selected marker</t>
  </si>
  <si>
    <t>pytest -m &lt;marker&gt;</t>
  </si>
  <si>
    <t>pytest -m functional</t>
  </si>
  <si>
    <t>@pytest.mark.functional</t>
  </si>
  <si>
    <r>
      <t xml:space="preserve">def </t>
    </r>
    <r>
      <rPr>
        <b/>
        <sz val="9.8000000000000007"/>
        <color rgb="FF56A8F5"/>
        <rFont val="JetBrains Mono"/>
      </rPr>
      <t>test_login</t>
    </r>
    <r>
      <rPr>
        <b/>
        <sz val="9.8000000000000007"/>
        <color rgb="FFBCBEC4"/>
        <rFont val="JetBrains Mono"/>
      </rPr>
      <t>():</t>
    </r>
  </si>
  <si>
    <r>
      <t xml:space="preserve">    </t>
    </r>
    <r>
      <rPr>
        <b/>
        <sz val="9.8000000000000007"/>
        <color rgb="FF8888C6"/>
        <rFont val="JetBrains Mono"/>
      </rPr>
      <t>print</t>
    </r>
    <r>
      <rPr>
        <b/>
        <sz val="9.8000000000000007"/>
        <color rgb="FFBCBEC4"/>
        <rFont val="JetBrains Mono"/>
      </rPr>
      <t>(</t>
    </r>
    <r>
      <rPr>
        <b/>
        <sz val="9.8000000000000007"/>
        <color rgb="FF6AAB73"/>
        <rFont val="JetBrains Mono"/>
      </rPr>
      <t>"Login successful for user"</t>
    </r>
    <r>
      <rPr>
        <b/>
        <sz val="9.8000000000000007"/>
        <color rgb="FFBCBEC4"/>
        <rFont val="JetBrains Mono"/>
      </rPr>
      <t>)</t>
    </r>
  </si>
  <si>
    <t>Register user-defined markers</t>
  </si>
  <si>
    <t>Create 'pytest.ini' file at the root of the project folder</t>
  </si>
  <si>
    <t>[pytest]</t>
  </si>
  <si>
    <t>markers =</t>
  </si>
  <si>
    <t xml:space="preserve">    integration: marks tests as integration tests</t>
  </si>
  <si>
    <t xml:space="preserve">    unit: marks tests as unit tests</t>
  </si>
  <si>
    <t xml:space="preserve">    smoke: marks tests as smoke tests</t>
  </si>
  <si>
    <t xml:space="preserve">    regression: marks tests as regression tests</t>
  </si>
  <si>
    <t xml:space="preserve">    functional</t>
  </si>
  <si>
    <r>
      <t xml:space="preserve">    </t>
    </r>
    <r>
      <rPr>
        <b/>
        <sz val="9.8000000000000007"/>
        <color rgb="FF6AAB73"/>
        <rFont val="JetBrains Mono"/>
      </rPr>
      <t>slow: marks tests as slow (deselect with '-m "not slow"')</t>
    </r>
  </si>
  <si>
    <t>Skip the test</t>
  </si>
  <si>
    <t>pytest.mark.skip</t>
  </si>
  <si>
    <t xml:space="preserve">    ]</t>
  </si>
  <si>
    <r>
      <t xml:space="preserve">def </t>
    </r>
    <r>
      <rPr>
        <b/>
        <sz val="9.8000000000000007"/>
        <color rgb="FF56A8F5"/>
        <rFont val="JetBrains Mono"/>
      </rPr>
      <t>get_data</t>
    </r>
    <r>
      <rPr>
        <b/>
        <sz val="9.8000000000000007"/>
        <color rgb="FFBCBEC4"/>
        <rFont val="JetBrains Mono"/>
      </rPr>
      <t>():</t>
    </r>
  </si>
  <si>
    <r>
      <t xml:space="preserve">    </t>
    </r>
    <r>
      <rPr>
        <b/>
        <sz val="9.8000000000000007"/>
        <color rgb="FFCF8E6D"/>
        <rFont val="JetBrains Mono"/>
      </rPr>
      <t xml:space="preserve">return </t>
    </r>
    <r>
      <rPr>
        <b/>
        <sz val="9.8000000000000007"/>
        <color rgb="FFBCBEC4"/>
        <rFont val="JetBrains Mono"/>
      </rPr>
      <t>[</t>
    </r>
  </si>
  <si>
    <r>
      <t xml:space="preserve">        (</t>
    </r>
    <r>
      <rPr>
        <b/>
        <sz val="9.8000000000000007"/>
        <color rgb="FF6AAB73"/>
        <rFont val="JetBrains Mono"/>
      </rPr>
      <t>"user1"</t>
    </r>
    <r>
      <rPr>
        <b/>
        <sz val="9.8000000000000007"/>
        <color rgb="FFBCBEC4"/>
        <rFont val="JetBrains Mono"/>
      </rPr>
      <t xml:space="preserve">, </t>
    </r>
    <r>
      <rPr>
        <b/>
        <sz val="9.8000000000000007"/>
        <color rgb="FF6AAB73"/>
        <rFont val="JetBrains Mono"/>
      </rPr>
      <t>"pass1"</t>
    </r>
    <r>
      <rPr>
        <b/>
        <sz val="9.8000000000000007"/>
        <color rgb="FFBCBEC4"/>
        <rFont val="JetBrains Mono"/>
      </rPr>
      <t>),</t>
    </r>
  </si>
  <si>
    <r>
      <t xml:space="preserve">        (</t>
    </r>
    <r>
      <rPr>
        <b/>
        <sz val="9.8000000000000007"/>
        <color rgb="FF6AAB73"/>
        <rFont val="JetBrains Mono"/>
      </rPr>
      <t>"user2"</t>
    </r>
    <r>
      <rPr>
        <b/>
        <sz val="9.8000000000000007"/>
        <color rgb="FFBCBEC4"/>
        <rFont val="JetBrains Mono"/>
      </rPr>
      <t xml:space="preserve">, </t>
    </r>
    <r>
      <rPr>
        <b/>
        <sz val="9.8000000000000007"/>
        <color rgb="FF6AAB73"/>
        <rFont val="JetBrains Mono"/>
      </rPr>
      <t>"pass2"</t>
    </r>
    <r>
      <rPr>
        <b/>
        <sz val="9.8000000000000007"/>
        <color rgb="FFBCBEC4"/>
        <rFont val="JetBrains Mono"/>
      </rPr>
      <t>),</t>
    </r>
  </si>
  <si>
    <r>
      <t xml:space="preserve">        (</t>
    </r>
    <r>
      <rPr>
        <b/>
        <sz val="9.8000000000000007"/>
        <color rgb="FF6AAB73"/>
        <rFont val="JetBrains Mono"/>
      </rPr>
      <t>"user3"</t>
    </r>
    <r>
      <rPr>
        <b/>
        <sz val="9.8000000000000007"/>
        <color rgb="FFBCBEC4"/>
        <rFont val="JetBrains Mono"/>
      </rPr>
      <t xml:space="preserve">, </t>
    </r>
    <r>
      <rPr>
        <b/>
        <sz val="9.8000000000000007"/>
        <color rgb="FF6AAB73"/>
        <rFont val="JetBrains Mono"/>
      </rPr>
      <t>"pass3"</t>
    </r>
    <r>
      <rPr>
        <b/>
        <sz val="9.8000000000000007"/>
        <color rgb="FFBCBEC4"/>
        <rFont val="JetBrains Mono"/>
      </rPr>
      <t>)</t>
    </r>
  </si>
  <si>
    <r>
      <t>@pytest.mark.parametrize</t>
    </r>
    <r>
      <rPr>
        <b/>
        <sz val="9.8000000000000007"/>
        <color rgb="FFBCBEC4"/>
        <rFont val="JetBrains Mono"/>
      </rPr>
      <t>(</t>
    </r>
    <r>
      <rPr>
        <b/>
        <sz val="9.8000000000000007"/>
        <color rgb="FF6AAB73"/>
        <rFont val="JetBrains Mono"/>
      </rPr>
      <t>"user_name, password"</t>
    </r>
    <r>
      <rPr>
        <b/>
        <sz val="9.8000000000000007"/>
        <color rgb="FFBCBEC4"/>
        <rFont val="JetBrains Mono"/>
      </rPr>
      <t>, get_data())</t>
    </r>
  </si>
  <si>
    <r>
      <t xml:space="preserve">def </t>
    </r>
    <r>
      <rPr>
        <b/>
        <sz val="9.8000000000000007"/>
        <color rgb="FF56A8F5"/>
        <rFont val="JetBrains Mono"/>
      </rPr>
      <t>test_login</t>
    </r>
    <r>
      <rPr>
        <b/>
        <sz val="9.8000000000000007"/>
        <color rgb="FFBCBEC4"/>
        <rFont val="JetBrains Mono"/>
      </rPr>
      <t>(user_name, password):</t>
    </r>
  </si>
  <si>
    <r>
      <t xml:space="preserve">    </t>
    </r>
    <r>
      <rPr>
        <b/>
        <sz val="9.8000000000000007"/>
        <color rgb="FF8888C6"/>
        <rFont val="JetBrains Mono"/>
      </rPr>
      <t>print</t>
    </r>
    <r>
      <rPr>
        <b/>
        <sz val="9.8000000000000007"/>
        <color rgb="FFBCBEC4"/>
        <rFont val="JetBrains Mono"/>
      </rPr>
      <t>(</t>
    </r>
    <r>
      <rPr>
        <b/>
        <sz val="9.8000000000000007"/>
        <color rgb="FF6AAB73"/>
        <rFont val="JetBrains Mono"/>
      </rPr>
      <t xml:space="preserve">f"Login successful for user: </t>
    </r>
    <r>
      <rPr>
        <b/>
        <sz val="9.8000000000000007"/>
        <color rgb="FFCF8E6D"/>
        <rFont val="JetBrains Mono"/>
      </rPr>
      <t>{</t>
    </r>
    <r>
      <rPr>
        <b/>
        <sz val="9.8000000000000007"/>
        <color rgb="FFBCBEC4"/>
        <rFont val="JetBrains Mono"/>
      </rPr>
      <t>user_name</t>
    </r>
    <r>
      <rPr>
        <b/>
        <sz val="9.8000000000000007"/>
        <color rgb="FFCF8E6D"/>
        <rFont val="JetBrains Mono"/>
      </rPr>
      <t>}</t>
    </r>
    <r>
      <rPr>
        <b/>
        <sz val="9.8000000000000007"/>
        <color rgb="FF6AAB73"/>
        <rFont val="JetBrains Mono"/>
      </rPr>
      <t xml:space="preserve"> with password: </t>
    </r>
    <r>
      <rPr>
        <b/>
        <sz val="9.8000000000000007"/>
        <color rgb="FFCF8E6D"/>
        <rFont val="JetBrains Mono"/>
      </rPr>
      <t>{</t>
    </r>
    <r>
      <rPr>
        <b/>
        <sz val="9.8000000000000007"/>
        <color rgb="FFBCBEC4"/>
        <rFont val="JetBrains Mono"/>
      </rPr>
      <t>password</t>
    </r>
    <r>
      <rPr>
        <b/>
        <sz val="9.8000000000000007"/>
        <color rgb="FFCF8E6D"/>
        <rFont val="JetBrains Mono"/>
      </rPr>
      <t>}</t>
    </r>
    <r>
      <rPr>
        <b/>
        <sz val="9.8000000000000007"/>
        <color rgb="FF6AAB73"/>
        <rFont val="JetBrains Mono"/>
      </rPr>
      <t>"</t>
    </r>
    <r>
      <rPr>
        <b/>
        <sz val="9.8000000000000007"/>
        <color rgb="FFBCBEC4"/>
        <rFont val="JetBrains Mono"/>
      </rPr>
      <t>)</t>
    </r>
  </si>
  <si>
    <t>Parameterised Markers</t>
  </si>
  <si>
    <t>Used to pass data through markers</t>
  </si>
  <si>
    <t>Decorator for parameterised marker</t>
  </si>
  <si>
    <t>Assertions</t>
  </si>
  <si>
    <t>Used to check if the testcase is giving expected results and report failure</t>
  </si>
  <si>
    <t>Commands:</t>
  </si>
  <si>
    <t>assert True</t>
  </si>
  <si>
    <t>Forcefully passing the testcase</t>
  </si>
  <si>
    <t>assert False</t>
  </si>
  <si>
    <t>Forcefully failing the testcase</t>
  </si>
  <si>
    <t>assert compare</t>
  </si>
  <si>
    <t>Compare 2 values</t>
  </si>
  <si>
    <r>
      <rPr>
        <b/>
        <sz val="9.8000000000000007"/>
        <color rgb="FFCF8E6D"/>
        <rFont val="JetBrains Mono"/>
      </rPr>
      <t xml:space="preserve">assert </t>
    </r>
    <r>
      <rPr>
        <b/>
        <sz val="9.8000000000000007"/>
        <color rgb="FFBCBEC4"/>
        <rFont val="JetBrains Mono"/>
      </rPr>
      <t xml:space="preserve">user_name == </t>
    </r>
    <r>
      <rPr>
        <b/>
        <sz val="9.8000000000000007"/>
        <color rgb="FF6AAB73"/>
        <rFont val="JetBrains Mono"/>
      </rPr>
      <t>"user1"</t>
    </r>
    <r>
      <rPr>
        <b/>
        <sz val="9.8000000000000007"/>
        <color rgb="FFBCBEC4"/>
        <rFont val="JetBrains Mono"/>
      </rPr>
      <t xml:space="preserve">, </t>
    </r>
    <r>
      <rPr>
        <b/>
        <sz val="9.8000000000000007"/>
        <color rgb="FF6AAB73"/>
        <rFont val="JetBrains Mono"/>
      </rPr>
      <t xml:space="preserve">f"The user name is: </t>
    </r>
    <r>
      <rPr>
        <b/>
        <sz val="9.8000000000000007"/>
        <color rgb="FFCF8E6D"/>
        <rFont val="JetBrains Mono"/>
      </rPr>
      <t>{</t>
    </r>
    <r>
      <rPr>
        <b/>
        <sz val="9.8000000000000007"/>
        <color rgb="FFBCBEC4"/>
        <rFont val="JetBrains Mono"/>
      </rPr>
      <t>user_name</t>
    </r>
    <r>
      <rPr>
        <b/>
        <sz val="9.8000000000000007"/>
        <color rgb="FFCF8E6D"/>
        <rFont val="JetBrains Mono"/>
      </rPr>
      <t>}</t>
    </r>
    <r>
      <rPr>
        <b/>
        <sz val="9.8000000000000007"/>
        <color rgb="FF6AAB73"/>
        <rFont val="JetBrains Mono"/>
      </rPr>
      <t>"</t>
    </r>
  </si>
  <si>
    <t xml:space="preserve">assert 'in' </t>
  </si>
  <si>
    <t>Checks if a smaller string is a part of the larger string</t>
  </si>
  <si>
    <r>
      <t xml:space="preserve">assert </t>
    </r>
    <r>
      <rPr>
        <b/>
        <sz val="9.8000000000000007"/>
        <color rgb="FF6AAB73"/>
        <rFont val="JetBrains Mono"/>
      </rPr>
      <t xml:space="preserve">'user2' </t>
    </r>
    <r>
      <rPr>
        <b/>
        <sz val="9.8000000000000007"/>
        <color rgb="FFCF8E6D"/>
        <rFont val="JetBrains Mono"/>
      </rPr>
      <t xml:space="preserve">in </t>
    </r>
    <r>
      <rPr>
        <b/>
        <sz val="9.8000000000000007"/>
        <color rgb="FFBCBEC4"/>
        <rFont val="JetBrains Mono"/>
      </rPr>
      <t xml:space="preserve">user_name, </t>
    </r>
    <r>
      <rPr>
        <b/>
        <sz val="9.8000000000000007"/>
        <color rgb="FF6AAB73"/>
        <rFont val="JetBrains Mono"/>
      </rPr>
      <t xml:space="preserve">f"The user name is: </t>
    </r>
    <r>
      <rPr>
        <b/>
        <sz val="9.8000000000000007"/>
        <color rgb="FFCF8E6D"/>
        <rFont val="JetBrains Mono"/>
      </rPr>
      <t>{</t>
    </r>
    <r>
      <rPr>
        <b/>
        <sz val="9.8000000000000007"/>
        <color rgb="FFBCBEC4"/>
        <rFont val="JetBrains Mono"/>
      </rPr>
      <t>user_name</t>
    </r>
    <r>
      <rPr>
        <b/>
        <sz val="9.8000000000000007"/>
        <color rgb="FFCF8E6D"/>
        <rFont val="JetBrains Mono"/>
      </rPr>
      <t>}</t>
    </r>
    <r>
      <rPr>
        <b/>
        <sz val="9.8000000000000007"/>
        <color rgb="FF6AAB73"/>
        <rFont val="JetBrains Mono"/>
      </rPr>
      <t>"</t>
    </r>
  </si>
  <si>
    <t>Soft Assertions</t>
  </si>
  <si>
    <t>All the functionality of assertion, but it does not stop execution on the first failure. Instead it continues execution and keeps catcing all the failures</t>
  </si>
  <si>
    <t>Installation</t>
  </si>
  <si>
    <t>pip install pytest-soft-assertions</t>
  </si>
  <si>
    <t>use</t>
  </si>
  <si>
    <t>pytest --soft-asserts</t>
  </si>
  <si>
    <t>Parallel execution</t>
  </si>
  <si>
    <t>pip install pytest-xdist</t>
  </si>
  <si>
    <t>Allure reports generation</t>
  </si>
  <si>
    <t>Install Allure command-line tool</t>
  </si>
  <si>
    <t>Go to google and follow the steps</t>
  </si>
  <si>
    <t>pip install allure-pytest</t>
  </si>
  <si>
    <r>
      <t xml:space="preserve">pytest </t>
    </r>
    <r>
      <rPr>
        <b/>
        <sz val="11"/>
        <color rgb="FF56A2F6"/>
        <rFont val="Calibri"/>
        <family val="2"/>
        <scheme val="minor"/>
      </rPr>
      <t>&lt;flags&gt;</t>
    </r>
    <r>
      <rPr>
        <sz val="11"/>
        <color theme="1"/>
        <rFont val="Calibri"/>
        <family val="2"/>
        <scheme val="minor"/>
      </rPr>
      <t xml:space="preserve"> </t>
    </r>
    <r>
      <rPr>
        <b/>
        <sz val="11"/>
        <color rgb="FF6AAB73"/>
        <rFont val="Calibri"/>
        <family val="2"/>
        <scheme val="minor"/>
      </rPr>
      <t>&lt;file_name&gt;</t>
    </r>
    <r>
      <rPr>
        <sz val="11"/>
        <color theme="1"/>
        <rFont val="Calibri"/>
        <family val="2"/>
        <scheme val="minor"/>
      </rPr>
      <t xml:space="preserve"> --alluredir=</t>
    </r>
    <r>
      <rPr>
        <b/>
        <sz val="11"/>
        <color rgb="FFC97BC0"/>
        <rFont val="Calibri"/>
        <family val="2"/>
        <scheme val="minor"/>
      </rPr>
      <t>&lt;Allure Reports Directory&gt;</t>
    </r>
  </si>
  <si>
    <r>
      <t xml:space="preserve">pytest </t>
    </r>
    <r>
      <rPr>
        <b/>
        <sz val="11"/>
        <color rgb="FF56A2F6"/>
        <rFont val="Calibri"/>
        <family val="2"/>
        <scheme val="minor"/>
      </rPr>
      <t>-s -v</t>
    </r>
    <r>
      <rPr>
        <sz val="11"/>
        <color theme="1"/>
        <rFont val="Calibri"/>
        <family val="2"/>
        <scheme val="minor"/>
      </rPr>
      <t xml:space="preserve"> </t>
    </r>
    <r>
      <rPr>
        <b/>
        <sz val="11"/>
        <color rgb="FF6AAB73"/>
        <rFont val="Calibri"/>
        <family val="2"/>
        <scheme val="minor"/>
      </rPr>
      <t>.\test_carwale.py</t>
    </r>
    <r>
      <rPr>
        <sz val="11"/>
        <color theme="1"/>
        <rFont val="Calibri"/>
        <family val="2"/>
        <scheme val="minor"/>
      </rPr>
      <t xml:space="preserve"> --alluredir=</t>
    </r>
    <r>
      <rPr>
        <b/>
        <sz val="11"/>
        <color rgb="FFC97BC0"/>
        <rFont val="Calibri"/>
        <family val="2"/>
        <scheme val="minor"/>
      </rPr>
      <t>"..\Reports"</t>
    </r>
  </si>
  <si>
    <r>
      <t xml:space="preserve">allure serve </t>
    </r>
    <r>
      <rPr>
        <b/>
        <sz val="11"/>
        <color rgb="FFC97BC0"/>
        <rFont val="Calibri"/>
        <family val="2"/>
        <scheme val="minor"/>
      </rPr>
      <t xml:space="preserve">.\Allure-Reports\ </t>
    </r>
  </si>
  <si>
    <r>
      <t xml:space="preserve">allure serve </t>
    </r>
    <r>
      <rPr>
        <b/>
        <sz val="11"/>
        <color rgb="FFC97BC0"/>
        <rFont val="Calibri"/>
        <family val="2"/>
        <scheme val="minor"/>
      </rPr>
      <t>&lt;Allure Reports Directory&gt;</t>
    </r>
  </si>
  <si>
    <t>Attach screenshot</t>
  </si>
  <si>
    <r>
      <t xml:space="preserve">allure.attach(driver.get_screenshot_as_png(), </t>
    </r>
    <r>
      <rPr>
        <b/>
        <sz val="9.8000000000000007"/>
        <color rgb="FFAA4926"/>
        <rFont val="JetBrains Mono"/>
      </rPr>
      <t>name</t>
    </r>
    <r>
      <rPr>
        <b/>
        <sz val="9.8000000000000007"/>
        <color rgb="FFBCBEC4"/>
        <rFont val="JetBrains Mono"/>
      </rPr>
      <t>=</t>
    </r>
    <r>
      <rPr>
        <b/>
        <sz val="9.8000000000000007"/>
        <color rgb="FF6AAB73"/>
        <rFont val="JetBrains Mono"/>
      </rPr>
      <t>"Login_Screenshot"</t>
    </r>
    <r>
      <rPr>
        <b/>
        <sz val="9.8000000000000007"/>
        <color rgb="FFBCBEC4"/>
        <rFont val="JetBrains Mono"/>
      </rPr>
      <t xml:space="preserve">, </t>
    </r>
    <r>
      <rPr>
        <b/>
        <sz val="9.8000000000000007"/>
        <color rgb="FFAA4926"/>
        <rFont val="JetBrains Mono"/>
      </rPr>
      <t>attachment_type</t>
    </r>
    <r>
      <rPr>
        <b/>
        <sz val="9.8000000000000007"/>
        <color rgb="FFBCBEC4"/>
        <rFont val="JetBrains Mono"/>
      </rPr>
      <t>=allure.attachment_type.PNG)</t>
    </r>
  </si>
  <si>
    <r>
      <t xml:space="preserve">allure.attach(driver.get_screenshot_as_png(), 
</t>
    </r>
    <r>
      <rPr>
        <b/>
        <sz val="9.8000000000000007"/>
        <color rgb="FFAA4926"/>
        <rFont val="JetBrains Mono"/>
      </rPr>
      <t>name</t>
    </r>
    <r>
      <rPr>
        <b/>
        <sz val="9.8000000000000007"/>
        <color rgb="FFBCBEC4"/>
        <rFont val="JetBrains Mono"/>
      </rPr>
      <t>=</t>
    </r>
    <r>
      <rPr>
        <b/>
        <sz val="9.8000000000000007"/>
        <color rgb="FF6AAB73"/>
        <rFont val="JetBrains Mono"/>
      </rPr>
      <t>"&lt;Screenshot_name&gt;"</t>
    </r>
    <r>
      <rPr>
        <b/>
        <sz val="9.8000000000000007"/>
        <color rgb="FFBCBEC4"/>
        <rFont val="JetBrains Mono"/>
      </rPr>
      <t xml:space="preserve">,
 </t>
    </r>
    <r>
      <rPr>
        <b/>
        <sz val="9.8000000000000007"/>
        <color rgb="FFAA4926"/>
        <rFont val="JetBrains Mono"/>
      </rPr>
      <t>attachment_type</t>
    </r>
    <r>
      <rPr>
        <b/>
        <sz val="9.8000000000000007"/>
        <color rgb="FFBCBEC4"/>
        <rFont val="JetBrains Mono"/>
      </rPr>
      <t>=&lt;.attachment_type&gt;)</t>
    </r>
  </si>
  <si>
    <t>Attach screenshot on failure</t>
  </si>
  <si>
    <t xml:space="preserve">        driver = browser_setup</t>
  </si>
  <si>
    <r>
      <t xml:space="preserve">def </t>
    </r>
    <r>
      <rPr>
        <b/>
        <sz val="9.8000000000000007"/>
        <color rgb="FF56A8F5"/>
        <rFont val="JetBrains Mono"/>
      </rPr>
      <t>on_log_failure</t>
    </r>
    <r>
      <rPr>
        <b/>
        <sz val="9.8000000000000007"/>
        <color rgb="FFBCBEC4"/>
        <rFont val="JetBrains Mono"/>
      </rPr>
      <t>(request,browser_setup):</t>
    </r>
  </si>
  <si>
    <r>
      <t xml:space="preserve">    </t>
    </r>
    <r>
      <rPr>
        <b/>
        <sz val="9.8000000000000007"/>
        <color rgb="FFCF8E6D"/>
        <rFont val="JetBrains Mono"/>
      </rPr>
      <t>yield</t>
    </r>
  </si>
  <si>
    <r>
      <t xml:space="preserve">    </t>
    </r>
    <r>
      <rPr>
        <b/>
        <sz val="9.8000000000000007"/>
        <color rgb="FFBCBEC4"/>
        <rFont val="JetBrains Mono"/>
      </rPr>
      <t>item = request.node</t>
    </r>
  </si>
  <si>
    <r>
      <t xml:space="preserve">    </t>
    </r>
    <r>
      <rPr>
        <b/>
        <sz val="9.8000000000000007"/>
        <color rgb="FF7A7E85"/>
        <rFont val="JetBrains Mono"/>
      </rPr>
      <t># This code runs after the test</t>
    </r>
  </si>
  <si>
    <r>
      <t xml:space="preserve">    </t>
    </r>
    <r>
      <rPr>
        <b/>
        <sz val="9.8000000000000007"/>
        <color rgb="FFCF8E6D"/>
        <rFont val="JetBrains Mono"/>
      </rPr>
      <t xml:space="preserve">if </t>
    </r>
    <r>
      <rPr>
        <b/>
        <sz val="9.8000000000000007"/>
        <color rgb="FFBCBEC4"/>
        <rFont val="JetBrains Mono"/>
      </rPr>
      <t>item.rep_call.failed:</t>
    </r>
  </si>
  <si>
    <r>
      <t xml:space="preserve">        </t>
    </r>
    <r>
      <rPr>
        <b/>
        <sz val="9.8000000000000007"/>
        <color rgb="FF8888C6"/>
        <rFont val="JetBrains Mono"/>
      </rPr>
      <t>print</t>
    </r>
    <r>
      <rPr>
        <b/>
        <sz val="9.8000000000000007"/>
        <color rgb="FFBCBEC4"/>
        <rFont val="JetBrains Mono"/>
      </rPr>
      <t>(</t>
    </r>
    <r>
      <rPr>
        <b/>
        <sz val="9.8000000000000007"/>
        <color rgb="FF6AAB73"/>
        <rFont val="JetBrains Mono"/>
      </rPr>
      <t>"Test failed! Taking screenshot..."</t>
    </r>
    <r>
      <rPr>
        <b/>
        <sz val="9.8000000000000007"/>
        <color rgb="FFBCBEC4"/>
        <rFont val="JetBrains Mono"/>
      </rPr>
      <t>)</t>
    </r>
  </si>
  <si>
    <r>
      <t xml:space="preserve">        allure.attach(driver.get_screenshot_as_png(), </t>
    </r>
    <r>
      <rPr>
        <b/>
        <sz val="9.8000000000000007"/>
        <color rgb="FFAA4926"/>
        <rFont val="JetBrains Mono"/>
      </rPr>
      <t>name</t>
    </r>
    <r>
      <rPr>
        <b/>
        <sz val="9.8000000000000007"/>
        <color rgb="FFBCBEC4"/>
        <rFont val="JetBrains Mono"/>
      </rPr>
      <t>=</t>
    </r>
    <r>
      <rPr>
        <b/>
        <sz val="9.8000000000000007"/>
        <color rgb="FF6AAB73"/>
        <rFont val="JetBrains Mono"/>
      </rPr>
      <t>"Login_Screenshot"</t>
    </r>
    <r>
      <rPr>
        <b/>
        <sz val="9.8000000000000007"/>
        <color rgb="FFBCBEC4"/>
        <rFont val="JetBrains Mono"/>
      </rPr>
      <t xml:space="preserve">, </t>
    </r>
    <r>
      <rPr>
        <b/>
        <sz val="9.8000000000000007"/>
        <color rgb="FFAA4926"/>
        <rFont val="JetBrains Mono"/>
      </rPr>
      <t>attachment_type</t>
    </r>
    <r>
      <rPr>
        <b/>
        <sz val="9.8000000000000007"/>
        <color rgb="FFBCBEC4"/>
        <rFont val="JetBrains Mono"/>
      </rPr>
      <t>=allure.attachment_type.PNG)</t>
    </r>
  </si>
  <si>
    <r>
      <t>@pytest.fixture</t>
    </r>
    <r>
      <rPr>
        <b/>
        <sz val="9.8000000000000007"/>
        <color rgb="FFBCBEC4"/>
        <rFont val="JetBrains Mono"/>
      </rPr>
      <t>()</t>
    </r>
  </si>
  <si>
    <t>Parameterised Fixtures</t>
  </si>
  <si>
    <t xml:space="preserve">        chrome_service = ChromeService(ChromeDriverManager().install())</t>
  </si>
  <si>
    <r>
      <t>@pytest.fixture</t>
    </r>
    <r>
      <rPr>
        <b/>
        <sz val="9.8000000000000007"/>
        <color rgb="FFBCBEC4"/>
        <rFont val="JetBrains Mono"/>
      </rPr>
      <t>(</t>
    </r>
    <r>
      <rPr>
        <b/>
        <sz val="9.8000000000000007"/>
        <color rgb="FFAA4926"/>
        <rFont val="JetBrains Mono"/>
      </rPr>
      <t>params</t>
    </r>
    <r>
      <rPr>
        <b/>
        <sz val="9.8000000000000007"/>
        <color rgb="FFBCBEC4"/>
        <rFont val="JetBrains Mono"/>
      </rPr>
      <t>=[</t>
    </r>
    <r>
      <rPr>
        <b/>
        <sz val="9.8000000000000007"/>
        <color rgb="FF6AAB73"/>
        <rFont val="JetBrains Mono"/>
      </rPr>
      <t>'chrome'</t>
    </r>
    <r>
      <rPr>
        <b/>
        <sz val="9.8000000000000007"/>
        <color rgb="FFBCBEC4"/>
        <rFont val="JetBrains Mono"/>
      </rPr>
      <t>,</t>
    </r>
    <r>
      <rPr>
        <b/>
        <sz val="9.8000000000000007"/>
        <color rgb="FF6AAB73"/>
        <rFont val="JetBrains Mono"/>
      </rPr>
      <t>'firefox'</t>
    </r>
    <r>
      <rPr>
        <b/>
        <sz val="9.8000000000000007"/>
        <color rgb="FFBCBEC4"/>
        <rFont val="JetBrains Mono"/>
      </rPr>
      <t xml:space="preserve">, </t>
    </r>
    <r>
      <rPr>
        <b/>
        <sz val="9.8000000000000007"/>
        <color rgb="FF6AAB73"/>
        <rFont val="JetBrains Mono"/>
      </rPr>
      <t>'edge'</t>
    </r>
    <r>
      <rPr>
        <b/>
        <sz val="9.8000000000000007"/>
        <color rgb="FFBCBEC4"/>
        <rFont val="JetBrains Mono"/>
      </rPr>
      <t xml:space="preserve">], </t>
    </r>
    <r>
      <rPr>
        <b/>
        <sz val="9.8000000000000007"/>
        <color rgb="FFAA4926"/>
        <rFont val="JetBrains Mono"/>
      </rPr>
      <t>scope</t>
    </r>
    <r>
      <rPr>
        <b/>
        <sz val="9.8000000000000007"/>
        <color rgb="FFBCBEC4"/>
        <rFont val="JetBrains Mono"/>
      </rPr>
      <t>=</t>
    </r>
    <r>
      <rPr>
        <b/>
        <sz val="9.8000000000000007"/>
        <color rgb="FF6AAB73"/>
        <rFont val="JetBrains Mono"/>
      </rPr>
      <t>'function'</t>
    </r>
    <r>
      <rPr>
        <b/>
        <sz val="9.8000000000000007"/>
        <color rgb="FFBCBEC4"/>
        <rFont val="JetBrains Mono"/>
      </rPr>
      <t xml:space="preserve">, </t>
    </r>
    <r>
      <rPr>
        <b/>
        <sz val="9.8000000000000007"/>
        <color rgb="FFAA4926"/>
        <rFont val="JetBrains Mono"/>
      </rPr>
      <t>autouse</t>
    </r>
    <r>
      <rPr>
        <b/>
        <sz val="9.8000000000000007"/>
        <color rgb="FFBCBEC4"/>
        <rFont val="JetBrains Mono"/>
      </rPr>
      <t>=</t>
    </r>
    <r>
      <rPr>
        <b/>
        <sz val="9.8000000000000007"/>
        <color rgb="FFCF8E6D"/>
        <rFont val="JetBrains Mono"/>
      </rPr>
      <t>True</t>
    </r>
    <r>
      <rPr>
        <b/>
        <sz val="9.8000000000000007"/>
        <color rgb="FFBCBEC4"/>
        <rFont val="JetBrains Mono"/>
      </rPr>
      <t>)</t>
    </r>
  </si>
  <si>
    <r>
      <t xml:space="preserve">def </t>
    </r>
    <r>
      <rPr>
        <b/>
        <sz val="9.8000000000000007"/>
        <color rgb="FF56A8F5"/>
        <rFont val="JetBrains Mono"/>
      </rPr>
      <t>browser_setup</t>
    </r>
    <r>
      <rPr>
        <b/>
        <sz val="9.8000000000000007"/>
        <color rgb="FFBCBEC4"/>
        <rFont val="JetBrains Mono"/>
      </rPr>
      <t>(request):</t>
    </r>
  </si>
  <si>
    <r>
      <t xml:space="preserve">    </t>
    </r>
    <r>
      <rPr>
        <b/>
        <sz val="9.8000000000000007"/>
        <color rgb="FFCF8E6D"/>
        <rFont val="JetBrains Mono"/>
      </rPr>
      <t xml:space="preserve">if </t>
    </r>
    <r>
      <rPr>
        <b/>
        <sz val="9.8000000000000007"/>
        <color rgb="FFBCBEC4"/>
        <rFont val="JetBrains Mono"/>
      </rPr>
      <t xml:space="preserve">request.param == </t>
    </r>
    <r>
      <rPr>
        <b/>
        <sz val="9.8000000000000007"/>
        <color rgb="FF6AAB73"/>
        <rFont val="JetBrains Mono"/>
      </rPr>
      <t>'chrome'</t>
    </r>
    <r>
      <rPr>
        <b/>
        <sz val="9.8000000000000007"/>
        <color rgb="FFBCBEC4"/>
        <rFont val="JetBrains Mono"/>
      </rPr>
      <t>:</t>
    </r>
  </si>
  <si>
    <r>
      <t xml:space="preserve">        driver = webdriver.Chrome(</t>
    </r>
    <r>
      <rPr>
        <b/>
        <sz val="9.8000000000000007"/>
        <color rgb="FFAA4926"/>
        <rFont val="JetBrains Mono"/>
      </rPr>
      <t>service</t>
    </r>
    <r>
      <rPr>
        <b/>
        <sz val="9.8000000000000007"/>
        <color rgb="FFBCBEC4"/>
        <rFont val="JetBrains Mono"/>
      </rPr>
      <t>=chrome_service)</t>
    </r>
  </si>
  <si>
    <r>
      <t xml:space="preserve">    </t>
    </r>
    <r>
      <rPr>
        <b/>
        <sz val="9.8000000000000007"/>
        <color rgb="FFCF8E6D"/>
        <rFont val="JetBrains Mono"/>
      </rPr>
      <t xml:space="preserve">elif </t>
    </r>
    <r>
      <rPr>
        <b/>
        <sz val="9.8000000000000007"/>
        <color rgb="FFBCBEC4"/>
        <rFont val="JetBrains Mono"/>
      </rPr>
      <t xml:space="preserve">request.param == </t>
    </r>
    <r>
      <rPr>
        <b/>
        <sz val="9.8000000000000007"/>
        <color rgb="FF6AAB73"/>
        <rFont val="JetBrains Mono"/>
      </rPr>
      <t>'firefox'</t>
    </r>
    <r>
      <rPr>
        <b/>
        <sz val="9.8000000000000007"/>
        <color rgb="FFBCBEC4"/>
        <rFont val="JetBrains Mono"/>
      </rPr>
      <t>:</t>
    </r>
  </si>
  <si>
    <t>Python Operators</t>
  </si>
  <si>
    <t>Arithmetic Operators</t>
  </si>
  <si>
    <t>Operator</t>
  </si>
  <si>
    <t>Description</t>
  </si>
  <si>
    <t>+</t>
  </si>
  <si>
    <t>x + y</t>
  </si>
  <si>
    <t>–</t>
  </si>
  <si>
    <t>x – y</t>
  </si>
  <si>
    <t>*</t>
  </si>
  <si>
    <t>x * y</t>
  </si>
  <si>
    <t>/</t>
  </si>
  <si>
    <t>x / y</t>
  </si>
  <si>
    <t>//</t>
  </si>
  <si>
    <t>x // y</t>
  </si>
  <si>
    <t>%</t>
  </si>
  <si>
    <t>x % y</t>
  </si>
  <si>
    <t>**</t>
  </si>
  <si>
    <t>x ** y</t>
  </si>
  <si>
    <r>
      <t>Addition: </t>
    </r>
    <r>
      <rPr>
        <sz val="11"/>
        <color rgb="FF273239"/>
        <rFont val="Calibri"/>
        <family val="2"/>
        <scheme val="minor"/>
      </rPr>
      <t>Adds two values</t>
    </r>
  </si>
  <si>
    <r>
      <t>Subtraction: </t>
    </r>
    <r>
      <rPr>
        <sz val="11"/>
        <color rgb="FF273239"/>
        <rFont val="Calibri"/>
        <family val="2"/>
        <scheme val="minor"/>
      </rPr>
      <t>Subtracts one value from another</t>
    </r>
  </si>
  <si>
    <r>
      <t>Multiplication: </t>
    </r>
    <r>
      <rPr>
        <sz val="11"/>
        <color rgb="FF273239"/>
        <rFont val="Calibri"/>
        <family val="2"/>
        <scheme val="minor"/>
      </rPr>
      <t>Multiplies two values</t>
    </r>
  </si>
  <si>
    <r>
      <t>Division (float): </t>
    </r>
    <r>
      <rPr>
        <sz val="11"/>
        <color rgb="FF273239"/>
        <rFont val="Calibri"/>
        <family val="2"/>
        <scheme val="minor"/>
      </rPr>
      <t>Divides and returns a float value</t>
    </r>
  </si>
  <si>
    <r>
      <t>Division (floor): </t>
    </r>
    <r>
      <rPr>
        <sz val="11"/>
        <color rgb="FF273239"/>
        <rFont val="Calibri"/>
        <family val="2"/>
        <scheme val="minor"/>
      </rPr>
      <t>Divides and returns the floor value</t>
    </r>
  </si>
  <si>
    <r>
      <t>Modulus: </t>
    </r>
    <r>
      <rPr>
        <sz val="11"/>
        <color rgb="FF273239"/>
        <rFont val="Calibri"/>
        <family val="2"/>
        <scheme val="minor"/>
      </rPr>
      <t>Returns the remainder after division</t>
    </r>
  </si>
  <si>
    <r>
      <t>Power: </t>
    </r>
    <r>
      <rPr>
        <sz val="11"/>
        <color rgb="FF273239"/>
        <rFont val="Calibri"/>
        <family val="2"/>
        <scheme val="minor"/>
      </rPr>
      <t>Raises a number to the power of another</t>
    </r>
  </si>
  <si>
    <t>Python Object Comparison : "is" vs "=="</t>
  </si>
  <si>
    <t>In Python, both is and == are used for comparison, but they serve different purposes:</t>
  </si>
  <si>
    <r>
      <t>== (Equality Operator)</t>
    </r>
    <r>
      <rPr>
        <sz val="11"/>
        <color rgb="FF273239"/>
        <rFont val="Calibri"/>
        <family val="2"/>
        <scheme val="minor"/>
      </rPr>
      <t> → Compares values of two objects.</t>
    </r>
  </si>
  <si>
    <r>
      <t>is (Identity Operator)</t>
    </r>
    <r>
      <rPr>
        <sz val="11"/>
        <color rgb="FF273239"/>
        <rFont val="Calibri"/>
        <family val="2"/>
        <scheme val="minor"/>
      </rPr>
      <t> → Compares memory location of two objects.</t>
    </r>
  </si>
  <si>
    <t>is vs == Summary Table</t>
  </si>
  <si>
    <t>Parameter</t>
  </si>
  <si>
    <t>== operator</t>
  </si>
  <si>
    <t>is operator</t>
  </si>
  <si>
    <t>Name</t>
  </si>
  <si>
    <t>Equality operator</t>
  </si>
  <si>
    <t>Identity operator</t>
  </si>
  <si>
    <t>Functionality</t>
  </si>
  <si>
    <t>Checks if values of two objects are equal.</t>
  </si>
  <si>
    <t>Checks if memory addresses of two objects are the same.</t>
  </si>
  <si>
    <t>Use Case</t>
  </si>
  <si>
    <t>Used when we want to compare data stored in objects.</t>
  </si>
  <si>
    <t>Used when we want to check whether two variables point to the same object in memory.</t>
  </si>
  <si>
    <t>Mutable Objects (lists, dicts, sets, etc.)</t>
  </si>
  <si>
    <t>Returns True if contents are the same, even if they are different objects.</t>
  </si>
  <si>
    <t>Returns False unless both variables point to the same memory location.</t>
  </si>
  <si>
    <t>Immutable Objects (ints, strings, tuples, etc.)</t>
  </si>
  <si>
    <t>Returns True if values are equal.</t>
  </si>
  <si>
    <t>May return True due to Python's internal object caching (interning).</t>
  </si>
  <si>
    <t>Example 1</t>
  </si>
  <si>
    <t>[1,2,3] == [1,2,3] → True</t>
  </si>
  <si>
    <t>[1,2,3] is [1,2,3] → False</t>
  </si>
  <si>
    <t>Example 2</t>
  </si>
  <si>
    <t>"hello" == "hello" → True</t>
  </si>
  <si>
    <t>"hello" is "hello" → True</t>
  </si>
  <si>
    <t>Logical Operators</t>
  </si>
  <si>
    <t>Example</t>
  </si>
  <si>
    <t>and</t>
  </si>
  <si>
    <t>Returns True if both the operands are true</t>
  </si>
  <si>
    <t>x and y</t>
  </si>
  <si>
    <t>x&gt;7 and x&gt;10</t>
  </si>
  <si>
    <t>or</t>
  </si>
  <si>
    <t>Returns True if either of the operands is true</t>
  </si>
  <si>
    <t>x or y</t>
  </si>
  <si>
    <t>x&lt;7 or x&gt;15</t>
  </si>
  <si>
    <t>not</t>
  </si>
  <si>
    <t>Returns True if the operand is false</t>
  </si>
  <si>
    <t>not x</t>
  </si>
  <si>
    <t>not(x&gt;7 and x&gt; 10)</t>
  </si>
  <si>
    <t>Bitwise Logical Operators</t>
  </si>
  <si>
    <t>&amp;</t>
  </si>
  <si>
    <t>Bitwise AND</t>
  </si>
  <si>
    <t>x &amp; y</t>
  </si>
  <si>
    <t>|</t>
  </si>
  <si>
    <t>Bitwise OR</t>
  </si>
  <si>
    <t>x | y</t>
  </si>
  <si>
    <t>~</t>
  </si>
  <si>
    <t>Bitwise NOT</t>
  </si>
  <si>
    <t>~x</t>
  </si>
  <si>
    <t>^</t>
  </si>
  <si>
    <t>Bitwise XOR</t>
  </si>
  <si>
    <t>x ^ y</t>
  </si>
  <si>
    <t>&gt;&gt;</t>
  </si>
  <si>
    <t>Bitwise right shift</t>
  </si>
  <si>
    <t>x&gt;&gt;</t>
  </si>
  <si>
    <t>&lt;&lt;</t>
  </si>
  <si>
    <t>Bitwise left shift</t>
  </si>
  <si>
    <t>x&lt;&lt;</t>
  </si>
  <si>
    <t>Python Data types</t>
  </si>
  <si>
    <t>Integers</t>
  </si>
  <si>
    <t>a = 5</t>
  </si>
  <si>
    <t>Float</t>
  </si>
  <si>
    <t>b = 5.0</t>
  </si>
  <si>
    <t>c = 2 + 4j</t>
  </si>
  <si>
    <t>Sequence Data Types</t>
  </si>
  <si>
    <t>Numeric Data Types</t>
  </si>
  <si>
    <r>
      <t>(num)**</t>
    </r>
    <r>
      <rPr>
        <b/>
        <sz val="11"/>
        <color theme="1"/>
        <rFont val="Calibri"/>
        <family val="2"/>
        <scheme val="minor"/>
      </rPr>
      <t>(</t>
    </r>
    <r>
      <rPr>
        <sz val="11"/>
        <color theme="1"/>
        <rFont val="Calibri"/>
        <family val="2"/>
        <scheme val="minor"/>
      </rPr>
      <t>power) e.g. 2**5 = 32</t>
    </r>
  </si>
  <si>
    <r>
      <t>num(</t>
    </r>
    <r>
      <rPr>
        <b/>
        <sz val="11"/>
        <color theme="1"/>
        <rFont val="Calibri"/>
        <family val="2"/>
        <scheme val="minor"/>
      </rPr>
      <t>e</t>
    </r>
    <r>
      <rPr>
        <sz val="11"/>
        <color theme="1"/>
        <rFont val="Calibri"/>
        <family val="2"/>
        <scheme val="minor"/>
      </rPr>
      <t>)power e.g. 2e5 = 2 x 10000 = 20000</t>
    </r>
  </si>
  <si>
    <r>
      <t>print</t>
    </r>
    <r>
      <rPr>
        <b/>
        <sz val="9.8000000000000007"/>
        <color rgb="FFBCBEC4"/>
        <rFont val="Calibri"/>
        <family val="2"/>
        <scheme val="minor"/>
      </rPr>
      <t>(</t>
    </r>
    <r>
      <rPr>
        <b/>
        <sz val="9.8000000000000007"/>
        <color rgb="FF6AAB73"/>
        <rFont val="Calibri"/>
        <family val="2"/>
        <scheme val="minor"/>
      </rPr>
      <t xml:space="preserve">f"a = 13     b = 33 a &gt; b: </t>
    </r>
    <r>
      <rPr>
        <b/>
        <sz val="9.8000000000000007"/>
        <color rgb="FFCF8E6D"/>
        <rFont val="Calibri"/>
        <family val="2"/>
        <scheme val="minor"/>
      </rPr>
      <t>{</t>
    </r>
    <r>
      <rPr>
        <b/>
        <sz val="9.8000000000000007"/>
        <color rgb="FFBCBEC4"/>
        <rFont val="Calibri"/>
        <family val="2"/>
        <scheme val="minor"/>
      </rPr>
      <t>a &gt;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</si>
  <si>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r>
      <t>print</t>
    </r>
    <r>
      <rPr>
        <b/>
        <sz val="9.8000000000000007"/>
        <color rgb="FFBCBEC4"/>
        <rFont val="Calibri"/>
        <family val="2"/>
        <scheme val="minor"/>
      </rPr>
      <t>(</t>
    </r>
    <r>
      <rPr>
        <b/>
        <sz val="9.8000000000000007"/>
        <color rgb="FF6AAB73"/>
        <rFont val="Calibri"/>
        <family val="2"/>
        <scheme val="minor"/>
      </rPr>
      <t xml:space="preserve">f"a = 13     b = 33 a &lt; b: </t>
    </r>
    <r>
      <rPr>
        <b/>
        <sz val="9.8000000000000007"/>
        <color rgb="FFCF8E6D"/>
        <rFont val="Calibri"/>
        <family val="2"/>
        <scheme val="minor"/>
      </rPr>
      <t>{</t>
    </r>
    <r>
      <rPr>
        <b/>
        <sz val="9.8000000000000007"/>
        <color rgb="FFBCBEC4"/>
        <rFont val="Calibri"/>
        <family val="2"/>
        <scheme val="minor"/>
      </rPr>
      <t>a &lt;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</si>
  <si>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r>
      <t>print</t>
    </r>
    <r>
      <rPr>
        <b/>
        <sz val="9.8000000000000007"/>
        <color rgb="FFBCBEC4"/>
        <rFont val="Calibri"/>
        <family val="2"/>
        <scheme val="minor"/>
      </rPr>
      <t>(</t>
    </r>
    <r>
      <rPr>
        <b/>
        <sz val="9.8000000000000007"/>
        <color rgb="FF6AAB73"/>
        <rFont val="Calibri"/>
        <family val="2"/>
        <scheme val="minor"/>
      </rPr>
      <t xml:space="preserve">f"a = 13     b = 33 a == b: </t>
    </r>
    <r>
      <rPr>
        <b/>
        <sz val="9.8000000000000007"/>
        <color rgb="FFCF8E6D"/>
        <rFont val="Calibri"/>
        <family val="2"/>
        <scheme val="minor"/>
      </rPr>
      <t>{</t>
    </r>
    <r>
      <rPr>
        <b/>
        <sz val="9.8000000000000007"/>
        <color rgb="FFBCBEC4"/>
        <rFont val="Calibri"/>
        <family val="2"/>
        <scheme val="minor"/>
      </rPr>
      <t>a ==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</si>
  <si>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r>
      <t>print</t>
    </r>
    <r>
      <rPr>
        <b/>
        <sz val="9.8000000000000007"/>
        <color rgb="FFBCBEC4"/>
        <rFont val="Calibri"/>
        <family val="2"/>
        <scheme val="minor"/>
      </rPr>
      <t>(</t>
    </r>
    <r>
      <rPr>
        <b/>
        <sz val="9.8000000000000007"/>
        <color rgb="FF6AAB73"/>
        <rFont val="Calibri"/>
        <family val="2"/>
        <scheme val="minor"/>
      </rPr>
      <t xml:space="preserve">f"a = 13     b = 33 a != b: </t>
    </r>
    <r>
      <rPr>
        <b/>
        <sz val="9.8000000000000007"/>
        <color rgb="FFCF8E6D"/>
        <rFont val="Calibri"/>
        <family val="2"/>
        <scheme val="minor"/>
      </rPr>
      <t>{</t>
    </r>
    <r>
      <rPr>
        <b/>
        <sz val="9.8000000000000007"/>
        <color rgb="FFBCBEC4"/>
        <rFont val="Calibri"/>
        <family val="2"/>
        <scheme val="minor"/>
      </rPr>
      <t>a !=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</si>
  <si>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r>
      <t>print</t>
    </r>
    <r>
      <rPr>
        <b/>
        <sz val="9.8000000000000007"/>
        <color rgb="FFBCBEC4"/>
        <rFont val="Calibri"/>
        <family val="2"/>
        <scheme val="minor"/>
      </rPr>
      <t>(</t>
    </r>
    <r>
      <rPr>
        <b/>
        <sz val="9.8000000000000007"/>
        <color rgb="FF6AAB73"/>
        <rFont val="Calibri"/>
        <family val="2"/>
        <scheme val="minor"/>
      </rPr>
      <t xml:space="preserve">f"a = 13     b = 33 a &gt;= b: </t>
    </r>
    <r>
      <rPr>
        <b/>
        <sz val="9.8000000000000007"/>
        <color rgb="FFCF8E6D"/>
        <rFont val="Calibri"/>
        <family val="2"/>
        <scheme val="minor"/>
      </rPr>
      <t>{</t>
    </r>
    <r>
      <rPr>
        <b/>
        <sz val="9.8000000000000007"/>
        <color rgb="FFBCBEC4"/>
        <rFont val="Calibri"/>
        <family val="2"/>
        <scheme val="minor"/>
      </rPr>
      <t>a &gt;=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</si>
  <si>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r>
      <t>print</t>
    </r>
    <r>
      <rPr>
        <b/>
        <sz val="9.8000000000000007"/>
        <color rgb="FFBCBEC4"/>
        <rFont val="Calibri"/>
        <family val="2"/>
        <scheme val="minor"/>
      </rPr>
      <t>(</t>
    </r>
    <r>
      <rPr>
        <b/>
        <sz val="9.8000000000000007"/>
        <color rgb="FF6AAB73"/>
        <rFont val="Calibri"/>
        <family val="2"/>
        <scheme val="minor"/>
      </rPr>
      <t xml:space="preserve">f"a = 13     b = 33 a &lt;= b: </t>
    </r>
    <r>
      <rPr>
        <b/>
        <sz val="9.8000000000000007"/>
        <color rgb="FFCF8E6D"/>
        <rFont val="Calibri"/>
        <family val="2"/>
        <scheme val="minor"/>
      </rPr>
      <t>{</t>
    </r>
    <r>
      <rPr>
        <b/>
        <sz val="9.8000000000000007"/>
        <color rgb="FFBCBEC4"/>
        <rFont val="Calibri"/>
        <family val="2"/>
        <scheme val="minor"/>
      </rPr>
      <t>a &lt;= b</t>
    </r>
    <r>
      <rPr>
        <b/>
        <sz val="9.8000000000000007"/>
        <color rgb="FFCF8E6D"/>
        <rFont val="Calibri"/>
        <family val="2"/>
        <scheme val="minor"/>
      </rPr>
      <t>}</t>
    </r>
    <r>
      <rPr>
        <b/>
        <sz val="9.8000000000000007"/>
        <color rgb="FF6AAB73"/>
        <rFont val="Calibri"/>
        <family val="2"/>
        <scheme val="minor"/>
      </rPr>
      <t>"</t>
    </r>
    <r>
      <rPr>
        <b/>
        <sz val="9.8000000000000007"/>
        <color rgb="FFBCBEC4"/>
        <rFont val="Calibri"/>
        <family val="2"/>
        <scheme val="minor"/>
      </rPr>
      <t>)</t>
    </r>
  </si>
  <si>
    <t>s = 'Welcome to the Geeks World'</t>
  </si>
  <si>
    <t>List</t>
  </si>
  <si>
    <t>b = ["Geeks", "For", "Geeks", 4, 5]</t>
  </si>
  <si>
    <t>Tuple</t>
  </si>
  <si>
    <t>t2 = ('Geeks', 'For', 'Geeks', 1, 2)</t>
  </si>
  <si>
    <t>Boolean </t>
  </si>
  <si>
    <t>a = True</t>
  </si>
  <si>
    <t>Strings are sequence of characters written inside quotes. It can include letters, numbers, symbols and spaces. Python does not have a separate character type.</t>
  </si>
  <si>
    <t>Multi-line Strings</t>
  </si>
  <si>
    <t>Use triple quotes ('''...''' ) or ( """...""") for strings that span multiple lines. Newlines are preserved.</t>
  </si>
  <si>
    <t>Accessing Characters in String</t>
  </si>
  <si>
    <t>s = "ABCDEF"</t>
  </si>
  <si>
    <t xml:space="preserve">print(s[0])   </t>
  </si>
  <si>
    <t>print(s[4])</t>
  </si>
  <si>
    <t>String Slicing</t>
  </si>
  <si>
    <t>Slicing is a way to extract a portion of a string by specifying the start and end indexes.</t>
  </si>
  <si>
    <t>String declaration</t>
  </si>
  <si>
    <t>Both start and end index</t>
  </si>
  <si>
    <r>
      <t>s[</t>
    </r>
    <r>
      <rPr>
        <b/>
        <sz val="11"/>
        <color rgb="FF56A2F6"/>
        <rFont val="Calibri"/>
        <family val="2"/>
        <scheme val="minor"/>
      </rPr>
      <t>&lt;start_index&gt;</t>
    </r>
    <r>
      <rPr>
        <sz val="11"/>
        <color theme="1"/>
        <rFont val="Calibri"/>
        <family val="2"/>
        <scheme val="minor"/>
      </rPr>
      <t xml:space="preserve"> : </t>
    </r>
    <r>
      <rPr>
        <b/>
        <sz val="11"/>
        <color rgb="FFC97BC0"/>
        <rFont val="Calibri"/>
        <family val="2"/>
        <scheme val="minor"/>
      </rPr>
      <t xml:space="preserve">&lt;end_index&gt; </t>
    </r>
    <r>
      <rPr>
        <sz val="11"/>
        <color theme="1"/>
        <rFont val="Calibri"/>
        <family val="2"/>
        <scheme val="minor"/>
      </rPr>
      <t xml:space="preserve">]    </t>
    </r>
  </si>
  <si>
    <r>
      <t xml:space="preserve">s[ </t>
    </r>
    <r>
      <rPr>
        <b/>
        <sz val="11"/>
        <color rgb="FF56A2F6"/>
        <rFont val="Calibri"/>
        <family val="2"/>
        <scheme val="minor"/>
      </rPr>
      <t xml:space="preserve">1 </t>
    </r>
    <r>
      <rPr>
        <sz val="11"/>
        <color theme="1"/>
        <rFont val="Calibri"/>
        <family val="2"/>
        <scheme val="minor"/>
      </rPr>
      <t xml:space="preserve">: </t>
    </r>
    <r>
      <rPr>
        <b/>
        <sz val="11"/>
        <color rgb="FFC97BC0"/>
        <rFont val="Calibri"/>
        <family val="2"/>
        <scheme val="minor"/>
      </rPr>
      <t xml:space="preserve">4 </t>
    </r>
    <r>
      <rPr>
        <sz val="11"/>
        <color theme="1"/>
        <rFont val="Calibri"/>
        <family val="2"/>
        <scheme val="minor"/>
      </rPr>
      <t xml:space="preserve">] </t>
    </r>
  </si>
  <si>
    <t>Only end index. From start to the index</t>
  </si>
  <si>
    <r>
      <t>s[</t>
    </r>
    <r>
      <rPr>
        <b/>
        <sz val="11"/>
        <color rgb="FF56A2F6"/>
        <rFont val="Calibri"/>
        <family val="2"/>
        <scheme val="minor"/>
      </rPr>
      <t>&lt;start_index&gt;</t>
    </r>
    <r>
      <rPr>
        <sz val="11"/>
        <color theme="1"/>
        <rFont val="Calibri"/>
        <family val="2"/>
        <scheme val="minor"/>
      </rPr>
      <t xml:space="preserve"> : </t>
    </r>
    <r>
      <rPr>
        <b/>
        <sz val="11"/>
        <color rgb="FFC97BC0"/>
        <rFont val="Calibri"/>
        <family val="2"/>
        <scheme val="minor"/>
      </rPr>
      <t xml:space="preserve">&lt;end_index&gt; </t>
    </r>
    <r>
      <rPr>
        <sz val="11"/>
        <rFont val="Calibri"/>
        <family val="2"/>
        <scheme val="minor"/>
      </rPr>
      <t xml:space="preserve">: </t>
    </r>
    <r>
      <rPr>
        <b/>
        <sz val="11"/>
        <color rgb="FF6AAB73"/>
        <rFont val="Calibri"/>
        <family val="2"/>
        <scheme val="minor"/>
      </rPr>
      <t>&lt;step&gt;</t>
    </r>
    <r>
      <rPr>
        <sz val="11"/>
        <rFont val="Calibri"/>
        <family val="2"/>
        <scheme val="minor"/>
      </rPr>
      <t xml:space="preserve"> </t>
    </r>
    <r>
      <rPr>
        <sz val="11"/>
        <color theme="1"/>
        <rFont val="Calibri"/>
        <family val="2"/>
        <scheme val="minor"/>
      </rPr>
      <t xml:space="preserve">]    </t>
    </r>
  </si>
  <si>
    <r>
      <t>s[ :</t>
    </r>
    <r>
      <rPr>
        <b/>
        <sz val="11"/>
        <color rgb="FF56A2F6"/>
        <rFont val="Calibri"/>
        <family val="2"/>
        <scheme val="minor"/>
      </rPr>
      <t xml:space="preserve"> </t>
    </r>
    <r>
      <rPr>
        <sz val="11"/>
        <color theme="1"/>
        <rFont val="Calibri"/>
        <family val="2"/>
        <scheme val="minor"/>
      </rPr>
      <t xml:space="preserve">: </t>
    </r>
    <r>
      <rPr>
        <b/>
        <sz val="11"/>
        <color rgb="FF6AAB73"/>
        <rFont val="Calibri"/>
        <family val="2"/>
        <scheme val="minor"/>
      </rPr>
      <t>-1</t>
    </r>
    <r>
      <rPr>
        <b/>
        <sz val="11"/>
        <color rgb="FFC97BC0"/>
        <rFont val="Calibri"/>
        <family val="2"/>
        <scheme val="minor"/>
      </rPr>
      <t xml:space="preserve"> </t>
    </r>
    <r>
      <rPr>
        <sz val="11"/>
        <color theme="1"/>
        <rFont val="Calibri"/>
        <family val="2"/>
        <scheme val="minor"/>
      </rPr>
      <t xml:space="preserve">] </t>
    </r>
  </si>
  <si>
    <r>
      <t xml:space="preserve">s[ </t>
    </r>
    <r>
      <rPr>
        <b/>
        <sz val="11"/>
        <color rgb="FF56A2F6"/>
        <rFont val="Calibri"/>
        <family val="2"/>
        <scheme val="minor"/>
      </rPr>
      <t xml:space="preserve"> </t>
    </r>
    <r>
      <rPr>
        <sz val="11"/>
        <color theme="1"/>
        <rFont val="Calibri"/>
        <family val="2"/>
        <scheme val="minor"/>
      </rPr>
      <t xml:space="preserve">: </t>
    </r>
    <r>
      <rPr>
        <b/>
        <sz val="11"/>
        <color rgb="FFC97BC0"/>
        <rFont val="Calibri"/>
        <family val="2"/>
        <scheme val="minor"/>
      </rPr>
      <t xml:space="preserve">3 </t>
    </r>
    <r>
      <rPr>
        <sz val="11"/>
        <color theme="1"/>
        <rFont val="Calibri"/>
        <family val="2"/>
        <scheme val="minor"/>
      </rPr>
      <t xml:space="preserve">] </t>
    </r>
  </si>
  <si>
    <r>
      <t xml:space="preserve">s[ </t>
    </r>
    <r>
      <rPr>
        <b/>
        <sz val="11"/>
        <color rgb="FF56A2F6"/>
        <rFont val="Calibri"/>
        <family val="2"/>
        <scheme val="minor"/>
      </rPr>
      <t xml:space="preserve">3 </t>
    </r>
    <r>
      <rPr>
        <sz val="11"/>
        <color theme="1"/>
        <rFont val="Calibri"/>
        <family val="2"/>
        <scheme val="minor"/>
      </rPr>
      <t xml:space="preserve">: </t>
    </r>
    <r>
      <rPr>
        <b/>
        <sz val="11"/>
        <color rgb="FFC97BC0"/>
        <rFont val="Calibri"/>
        <family val="2"/>
        <scheme val="minor"/>
      </rPr>
      <t xml:space="preserve"> </t>
    </r>
    <r>
      <rPr>
        <sz val="11"/>
        <color theme="1"/>
        <rFont val="Calibri"/>
        <family val="2"/>
        <scheme val="minor"/>
      </rPr>
      <t xml:space="preserve">] </t>
    </r>
  </si>
  <si>
    <t>Only start index. From the index to the end</t>
  </si>
  <si>
    <t>With steps. Selects values as per the step specified. In this example, the last step is picked first, all the way to the start. i.e. String reversal</t>
  </si>
  <si>
    <t>String Methods</t>
  </si>
  <si>
    <t> Returns the total number of characters in a string (including spaces and punctuation).</t>
  </si>
  <si>
    <t>len()</t>
  </si>
  <si>
    <t>s = "GeeksforGeeks"</t>
  </si>
  <si>
    <t>print(len(s))</t>
  </si>
  <si>
    <t>print(s.upper())</t>
  </si>
  <si>
    <t>print(s.lower())</t>
  </si>
  <si>
    <t> lower() method converts all characters to lowercase.</t>
  </si>
  <si>
    <t> upper() method converts all characters to uppercase</t>
  </si>
  <si>
    <t>lower()</t>
  </si>
  <si>
    <t>upper()</t>
  </si>
  <si>
    <t>strip()</t>
  </si>
  <si>
    <t>replace()</t>
  </si>
  <si>
    <t>strip() removes leading and trailing whitespace from the string</t>
  </si>
  <si>
    <t> replace() replaces all occurrences of a specified substring with another.</t>
  </si>
  <si>
    <t>s = "   ABC   "
print(s.strip())</t>
  </si>
  <si>
    <t>s = "Python is fun"
print(s.replace("fun", "awesome"))</t>
  </si>
  <si>
    <t>Convert a string or tuple to list</t>
  </si>
  <si>
    <t>list(&lt;object_to_convert&gt;)</t>
  </si>
  <si>
    <t xml:space="preserve">a = list((1, 2, 3, 'apple', 4.5))  </t>
  </si>
  <si>
    <t>print(a)</t>
  </si>
  <si>
    <t>b = list("GFG")</t>
  </si>
  <si>
    <t>print(b)</t>
  </si>
  <si>
    <t>Playwright code to launch the page</t>
  </si>
  <si>
    <t>context = browser.new_context()</t>
  </si>
  <si>
    <t>page = context.new_page()</t>
  </si>
  <si>
    <r>
      <rPr>
        <b/>
        <sz val="9.8000000000000007"/>
        <color theme="0" tint="-0.499984740745262"/>
        <rFont val="JetBrains Mono"/>
      </rPr>
      <t>browser = playwright.chromium.launch(</t>
    </r>
    <r>
      <rPr>
        <b/>
        <sz val="9.8000000000000007"/>
        <color rgb="FFAA4926"/>
        <rFont val="JetBrains Mono"/>
      </rPr>
      <t>headless</t>
    </r>
    <r>
      <rPr>
        <b/>
        <sz val="9.8000000000000007"/>
        <color rgb="FFBCBEC4"/>
        <rFont val="JetBrains Mono"/>
      </rPr>
      <t>=</t>
    </r>
    <r>
      <rPr>
        <b/>
        <sz val="9.8000000000000007"/>
        <color rgb="FFCF8E6D"/>
        <rFont val="JetBrains Mono"/>
      </rPr>
      <t>False</t>
    </r>
    <r>
      <rPr>
        <b/>
        <sz val="9.8000000000000007"/>
        <color rgb="FFBCBEC4"/>
        <rFont val="JetBrains Mono"/>
      </rPr>
      <t>)</t>
    </r>
  </si>
  <si>
    <r>
      <rPr>
        <b/>
        <sz val="9.8000000000000007"/>
        <color theme="0" tint="-0.499984740745262"/>
        <rFont val="JetBrains Mono"/>
      </rPr>
      <t>page.goto(</t>
    </r>
    <r>
      <rPr>
        <b/>
        <sz val="9.8000000000000007"/>
        <color rgb="FF6AAB73"/>
        <rFont val="JetBrains Mono"/>
      </rPr>
      <t>"https://rahulshettyacademy.com"</t>
    </r>
    <r>
      <rPr>
        <b/>
        <sz val="9.8000000000000007"/>
        <color rgb="FFBCBEC4"/>
        <rFont val="JetBrains Mono"/>
      </rPr>
      <t>)</t>
    </r>
  </si>
  <si>
    <t>Find elements</t>
  </si>
  <si>
    <t>Role</t>
  </si>
  <si>
    <t>Text</t>
  </si>
  <si>
    <t>Label (Textbox)</t>
  </si>
  <si>
    <r>
      <rPr>
        <b/>
        <sz val="9.8000000000000007"/>
        <color theme="0" tint="-0.499984740745262"/>
        <rFont val="JetBrains Mono"/>
      </rPr>
      <t>page.get_by_role(</t>
    </r>
    <r>
      <rPr>
        <b/>
        <sz val="9.8000000000000007"/>
        <color rgb="FF6AAB73"/>
        <rFont val="JetBrains Mono"/>
      </rPr>
      <t>"combobox"</t>
    </r>
    <r>
      <rPr>
        <b/>
        <sz val="9.8000000000000007"/>
        <color theme="0" tint="-0.499984740745262"/>
        <rFont val="JetBrains Mono"/>
      </rPr>
      <t>).select_option(</t>
    </r>
    <r>
      <rPr>
        <b/>
        <sz val="9.8000000000000007"/>
        <color rgb="FF6AAB73"/>
        <rFont val="JetBrains Mono"/>
      </rPr>
      <t>"teach"</t>
    </r>
    <r>
      <rPr>
        <b/>
        <sz val="9.8000000000000007"/>
        <color rgb="FFBCBEC4"/>
        <rFont val="JetBrains Mono"/>
      </rPr>
      <t>)</t>
    </r>
  </si>
  <si>
    <r>
      <rPr>
        <b/>
        <sz val="9.8000000000000007"/>
        <color theme="0" tint="-0.499984740745262"/>
        <rFont val="JetBrains Mono"/>
      </rPr>
      <t>page.get_by_label(</t>
    </r>
    <r>
      <rPr>
        <b/>
        <sz val="9.8000000000000007"/>
        <color rgb="FF6AAB73"/>
        <rFont val="JetBrains Mono"/>
      </rPr>
      <t>"Username:"</t>
    </r>
    <r>
      <rPr>
        <b/>
        <sz val="9.8000000000000007"/>
        <color theme="0" tint="-0.499984740745262"/>
        <rFont val="JetBrains Mono"/>
      </rPr>
      <t>).fill(</t>
    </r>
    <r>
      <rPr>
        <b/>
        <sz val="9.8000000000000007"/>
        <color rgb="FF6AAB73"/>
        <rFont val="JetBrains Mono"/>
      </rPr>
      <t>"rahulshettyacademy"</t>
    </r>
    <r>
      <rPr>
        <b/>
        <sz val="9.8000000000000007"/>
        <color rgb="FFBCBEC4"/>
        <rFont val="JetBrains Mono"/>
      </rPr>
      <t>)</t>
    </r>
  </si>
  <si>
    <r>
      <rPr>
        <b/>
        <sz val="9.8000000000000007"/>
        <color theme="0" tint="-0.499984740745262"/>
        <rFont val="JetBrains Mono"/>
      </rPr>
      <t>page.get_by_role(</t>
    </r>
    <r>
      <rPr>
        <b/>
        <sz val="9.8000000000000007"/>
        <color rgb="FF6AAB73"/>
        <rFont val="JetBrains Mono"/>
      </rPr>
      <t>"button"</t>
    </r>
    <r>
      <rPr>
        <b/>
        <sz val="9.8000000000000007"/>
        <color rgb="FFBCBEC4"/>
        <rFont val="JetBrains Mono"/>
      </rPr>
      <t xml:space="preserve">, </t>
    </r>
    <r>
      <rPr>
        <b/>
        <sz val="9.8000000000000007"/>
        <color rgb="FFAA4926"/>
        <rFont val="JetBrains Mono"/>
      </rPr>
      <t>name</t>
    </r>
    <r>
      <rPr>
        <b/>
        <sz val="9.8000000000000007"/>
        <color rgb="FFBCBEC4"/>
        <rFont val="JetBrains Mono"/>
      </rPr>
      <t>=</t>
    </r>
    <r>
      <rPr>
        <b/>
        <sz val="9.8000000000000007"/>
        <color rgb="FF6AAB73"/>
        <rFont val="JetBrains Mono"/>
      </rPr>
      <t>"Sign In"</t>
    </r>
    <r>
      <rPr>
        <b/>
        <sz val="9.8000000000000007"/>
        <color theme="0" tint="-0.499984740745262"/>
        <rFont val="JetBrains Mono"/>
      </rPr>
      <t>).click()</t>
    </r>
  </si>
  <si>
    <t xml:space="preserve">["alert", "alertdialog", "application", "article", "banner", "blockquote", "button", "caption", "cell", "checkbox", "code", "columnheader", "combobox", "complementary", "contentinfo", "definition", "deletion", "dialog", "directory", "document", "emphasis", "feed", "figure", "form", "generic", "grid", "gridcell", "group", "heading", "img", "insertion", "link", "list", "listbox", "listitem", "log", "main", "marquee", "math", "menu", "menubar", "menuitem", "menuitemcheckbox", "menuitemradio", "meter", "navigation", "none", "note", "option", "paragraph", "presentation", "progressbar", "radio", "radiogroup", "region", "row", "rowgroup", "rowheader", "scrollbar", "search", "searchbox", "separator", "slider", "spinbutton", "status", "strong", "subscript", "superscript", "switch", "tab", "table", "tablist", "tabpanel", "term", "textbox", "time", "timer", "toolbar", "tooltip", "tree", "treegrid", "treeitem"]
</t>
  </si>
  <si>
    <r>
      <rPr>
        <b/>
        <sz val="9.8000000000000007"/>
        <color theme="0" tint="-0.499984740745262"/>
        <rFont val="JetBrains Mono"/>
      </rPr>
      <t>page.get_by_text(</t>
    </r>
    <r>
      <rPr>
        <b/>
        <sz val="9.8000000000000007"/>
        <color rgb="FF6AAB73"/>
        <rFont val="JetBrains Mono"/>
      </rPr>
      <t>"Incorrect username/password."</t>
    </r>
    <r>
      <rPr>
        <b/>
        <sz val="9.8000000000000007"/>
        <color rgb="FFBCBEC4"/>
        <rFont val="JetBrains Mono"/>
      </rPr>
      <t>)</t>
    </r>
  </si>
  <si>
    <t>page = firefoxBrowser.new_page()</t>
  </si>
  <si>
    <r>
      <rPr>
        <b/>
        <sz val="9.8000000000000007"/>
        <color theme="0" tint="-0.499984740745262"/>
        <rFont val="JetBrains Mono"/>
      </rPr>
      <t>firefoxBrowser = playwright.firefox.launch</t>
    </r>
    <r>
      <rPr>
        <b/>
        <sz val="9.8000000000000007"/>
        <color rgb="FFBCBEC4"/>
        <rFont val="JetBrains Mono"/>
      </rPr>
      <t>(</t>
    </r>
    <r>
      <rPr>
        <b/>
        <sz val="9.8000000000000007"/>
        <color rgb="FFAA4926"/>
        <rFont val="JetBrains Mono"/>
      </rPr>
      <t>headless</t>
    </r>
    <r>
      <rPr>
        <b/>
        <sz val="9.8000000000000007"/>
        <color rgb="FFBCBEC4"/>
        <rFont val="JetBrains Mono"/>
      </rPr>
      <t>=</t>
    </r>
    <r>
      <rPr>
        <b/>
        <sz val="9.8000000000000007"/>
        <color rgb="FFCF8E6D"/>
        <rFont val="JetBrains Mono"/>
      </rPr>
      <t>False</t>
    </r>
    <r>
      <rPr>
        <b/>
        <sz val="9.8000000000000007"/>
        <color rgb="FFBCBEC4"/>
        <rFont val="JetBrains Mono"/>
      </rPr>
      <t>)</t>
    </r>
  </si>
  <si>
    <t>Xpath or CSS</t>
  </si>
  <si>
    <r>
      <rPr>
        <b/>
        <sz val="9.8000000000000007"/>
        <color theme="0" tint="-0.499984740745262"/>
        <rFont val="JetBrains Mono"/>
      </rPr>
      <t>page.locator(</t>
    </r>
    <r>
      <rPr>
        <b/>
        <sz val="9.8000000000000007"/>
        <color rgb="FF6AAB73"/>
        <rFont val="JetBrains Mono"/>
      </rPr>
      <t>"#terms"</t>
    </r>
    <r>
      <rPr>
        <b/>
        <sz val="9.8000000000000007"/>
        <color theme="0" tint="-0.499984740745262"/>
        <rFont val="JetBrains Mono"/>
      </rPr>
      <t>).check()</t>
    </r>
  </si>
  <si>
    <t>Launch with pytest</t>
  </si>
  <si>
    <r>
      <t xml:space="preserve">def </t>
    </r>
    <r>
      <rPr>
        <b/>
        <sz val="9.8000000000000007"/>
        <color rgb="FF56A8F5"/>
        <rFont val="JetBrains Mono"/>
      </rPr>
      <t>test_coreLocators</t>
    </r>
    <r>
      <rPr>
        <b/>
        <sz val="9.8000000000000007"/>
        <color theme="0" tint="-0.499984740745262"/>
        <rFont val="JetBrains Mono"/>
      </rPr>
      <t>(page:Page):</t>
    </r>
  </si>
  <si>
    <r>
      <rPr>
        <b/>
        <sz val="9.8000000000000007"/>
        <color theme="0" tint="-0.499984740745262"/>
        <rFont val="JetBrains Mono"/>
      </rPr>
      <t xml:space="preserve">    page.goto(</t>
    </r>
    <r>
      <rPr>
        <b/>
        <sz val="9.8000000000000007"/>
        <color rgb="FF6AAB73"/>
        <rFont val="JetBrains Mono"/>
      </rPr>
      <t>"https://rahulshettyacademy.com/loginpagePractise/"</t>
    </r>
    <r>
      <rPr>
        <b/>
        <sz val="9.8000000000000007"/>
        <color rgb="FFBCBEC4"/>
        <rFont val="JetBrains Mono"/>
      </rPr>
      <t>)</t>
    </r>
  </si>
  <si>
    <t>Child Page or New Window</t>
  </si>
  <si>
    <r>
      <t xml:space="preserve">with </t>
    </r>
    <r>
      <rPr>
        <b/>
        <sz val="9.8000000000000007"/>
        <color theme="0" tint="-0.499984740745262"/>
        <rFont val="JetBrains Mono"/>
      </rPr>
      <t>page.expect_popup()</t>
    </r>
    <r>
      <rPr>
        <b/>
        <sz val="9.8000000000000007"/>
        <color rgb="FFBCBEC4"/>
        <rFont val="JetBrains Mono"/>
      </rPr>
      <t xml:space="preserve"> </t>
    </r>
    <r>
      <rPr>
        <b/>
        <sz val="9.8000000000000007"/>
        <color rgb="FFCF8E6D"/>
        <rFont val="JetBrains Mono"/>
      </rPr>
      <t xml:space="preserve">as </t>
    </r>
    <r>
      <rPr>
        <b/>
        <sz val="9.8000000000000007"/>
        <color theme="0" tint="-0.499984740745262"/>
        <rFont val="JetBrains Mono"/>
      </rPr>
      <t>newPage_info:</t>
    </r>
  </si>
  <si>
    <r>
      <t xml:space="preserve">    </t>
    </r>
    <r>
      <rPr>
        <b/>
        <sz val="9.8000000000000007"/>
        <color theme="0" tint="-0.499984740745262"/>
        <rFont val="JetBrains Mono"/>
      </rPr>
      <t>page.locator(</t>
    </r>
    <r>
      <rPr>
        <b/>
        <sz val="9.8000000000000007"/>
        <color rgb="FF6AAB73"/>
        <rFont val="JetBrains Mono"/>
      </rPr>
      <t>".blinkingText"</t>
    </r>
    <r>
      <rPr>
        <b/>
        <sz val="9.8000000000000007"/>
        <color theme="0" tint="-0.499984740745262"/>
        <rFont val="JetBrains Mono"/>
      </rPr>
      <t>).click()</t>
    </r>
    <r>
      <rPr>
        <b/>
        <sz val="9.8000000000000007"/>
        <color rgb="FFBCBEC4"/>
        <rFont val="JetBrains Mono"/>
      </rPr>
      <t xml:space="preserve">  # new page</t>
    </r>
  </si>
  <si>
    <t xml:space="preserve">    childPage = newPage_info.value</t>
  </si>
  <si>
    <r>
      <t xml:space="preserve"> </t>
    </r>
    <r>
      <rPr>
        <b/>
        <sz val="9.8000000000000007"/>
        <color theme="0" tint="-0.499984740745262"/>
        <rFont val="JetBrains Mono"/>
      </rPr>
      <t xml:space="preserve">   text = childPage.locator(</t>
    </r>
    <r>
      <rPr>
        <b/>
        <sz val="9.8000000000000007"/>
        <color rgb="FF6AAB73"/>
        <rFont val="JetBrains Mono"/>
      </rPr>
      <t>".red"</t>
    </r>
    <r>
      <rPr>
        <b/>
        <sz val="9.8000000000000007"/>
        <color theme="0" tint="-0.499984740745262"/>
        <rFont val="JetBrains Mono"/>
      </rPr>
      <t>).text_content()</t>
    </r>
  </si>
  <si>
    <r>
      <t xml:space="preserve">    </t>
    </r>
    <r>
      <rPr>
        <b/>
        <sz val="9.8000000000000007"/>
        <color rgb="FF8888C6"/>
        <rFont val="JetBrains Mono"/>
      </rPr>
      <t>print</t>
    </r>
    <r>
      <rPr>
        <b/>
        <sz val="9.8000000000000007"/>
        <color theme="0" tint="-0.499984740745262"/>
        <rFont val="JetBrains Mono"/>
      </rPr>
      <t>(text)</t>
    </r>
  </si>
  <si>
    <r>
      <rPr>
        <b/>
        <sz val="9.8000000000000007"/>
        <color theme="0" tint="-0.499984740745262"/>
        <rFont val="JetBrains Mono"/>
      </rPr>
      <t>page.locator(</t>
    </r>
    <r>
      <rPr>
        <b/>
        <sz val="9.8000000000000007"/>
        <color rgb="FF6AAB73"/>
        <rFont val="JetBrains Mono"/>
      </rPr>
      <t>"&lt; css/ xpath &gt;"</t>
    </r>
    <r>
      <rPr>
        <b/>
        <sz val="9.8000000000000007"/>
        <color theme="0" tint="-0.499984740745262"/>
        <rFont val="JetBrains Mono"/>
      </rPr>
      <t>).check()</t>
    </r>
  </si>
  <si>
    <t>hide/display and placeholder</t>
  </si>
  <si>
    <r>
      <rPr>
        <b/>
        <sz val="9.8000000000000007"/>
        <color theme="0" tint="-0.499984740745262"/>
        <rFont val="JetBrains Mono"/>
      </rPr>
      <t>page.get_by_placeholder(</t>
    </r>
    <r>
      <rPr>
        <b/>
        <sz val="9.8000000000000007"/>
        <color rgb="FF6AAB73"/>
        <rFont val="JetBrains Mono"/>
      </rPr>
      <t>"Hide/Show Example"</t>
    </r>
    <r>
      <rPr>
        <b/>
        <sz val="9.8000000000000007"/>
        <color rgb="FFBCBEC4"/>
        <rFont val="JetBrains Mono"/>
      </rPr>
      <t>)</t>
    </r>
  </si>
  <si>
    <r>
      <rPr>
        <b/>
        <sz val="9.8000000000000007"/>
        <color rgb="FF56A2F6"/>
        <rFont val="JetBrains Mono"/>
      </rPr>
      <t>expect(</t>
    </r>
    <r>
      <rPr>
        <b/>
        <sz val="9.8000000000000007"/>
        <color theme="0" tint="-0.499984740745262"/>
        <rFont val="JetBrains Mono"/>
      </rPr>
      <t>page.get_by_placeholder(</t>
    </r>
    <r>
      <rPr>
        <b/>
        <sz val="9.8000000000000007"/>
        <color rgb="FF6AAB73"/>
        <rFont val="JetBrains Mono"/>
      </rPr>
      <t>"Hide/Show Example"</t>
    </r>
    <r>
      <rPr>
        <b/>
        <sz val="9.8000000000000007"/>
        <color theme="0" tint="-0.499984740745262"/>
        <rFont val="JetBrains Mono"/>
      </rPr>
      <t>)</t>
    </r>
    <r>
      <rPr>
        <b/>
        <sz val="9.8000000000000007"/>
        <color rgb="FF56A2F6"/>
        <rFont val="JetBrains Mono"/>
      </rPr>
      <t>).to_be_visible()</t>
    </r>
  </si>
  <si>
    <r>
      <rPr>
        <b/>
        <sz val="9.8000000000000007"/>
        <color rgb="FF56A2F6"/>
        <rFont val="JetBrains Mono"/>
      </rPr>
      <t>expect(</t>
    </r>
    <r>
      <rPr>
        <b/>
        <sz val="9.8000000000000007"/>
        <color theme="0" tint="-0.499984740745262"/>
        <rFont val="JetBrains Mono"/>
      </rPr>
      <t>&lt;Element Locator&gt;</t>
    </r>
    <r>
      <rPr>
        <b/>
        <sz val="9.8000000000000007"/>
        <color rgb="FF56A2F6"/>
        <rFont val="JetBrains Mono"/>
      </rPr>
      <t>).&lt;expected_assertion&gt;</t>
    </r>
  </si>
  <si>
    <t>Element is attached</t>
  </si>
  <si>
    <t>Checkbox is checked</t>
  </si>
  <si>
    <t>Element is disabled</t>
  </si>
  <si>
    <t>Element is editable</t>
  </si>
  <si>
    <t>Container is empty</t>
  </si>
  <si>
    <r>
      <rPr>
        <b/>
        <sz val="11"/>
        <color rgb="FF56A2F6"/>
        <rFont val="Calibri"/>
        <family val="2"/>
        <scheme val="minor"/>
      </rPr>
      <t>expect(</t>
    </r>
    <r>
      <rPr>
        <b/>
        <sz val="11"/>
        <color rgb="FF6AAB73"/>
        <rFont val="Calibri"/>
        <family val="2"/>
        <scheme val="minor"/>
      </rPr>
      <t>locator</t>
    </r>
    <r>
      <rPr>
        <b/>
        <sz val="11"/>
        <color theme="1"/>
        <rFont val="Calibri"/>
        <family val="2"/>
        <scheme val="minor"/>
      </rPr>
      <t>)</t>
    </r>
    <r>
      <rPr>
        <b/>
        <sz val="11"/>
        <color rgb="FF56A2F6"/>
        <rFont val="Calibri"/>
        <family val="2"/>
        <scheme val="minor"/>
      </rPr>
      <t>.to_be_attached()</t>
    </r>
  </si>
  <si>
    <r>
      <rPr>
        <b/>
        <sz val="11"/>
        <color rgb="FF56A2F6"/>
        <rFont val="Calibri"/>
        <family val="2"/>
        <scheme val="minor"/>
      </rPr>
      <t>expect(</t>
    </r>
    <r>
      <rPr>
        <b/>
        <sz val="11"/>
        <color rgb="FF6AAB73"/>
        <rFont val="Calibri"/>
        <family val="2"/>
        <scheme val="minor"/>
      </rPr>
      <t>locator</t>
    </r>
    <r>
      <rPr>
        <b/>
        <sz val="11"/>
        <color theme="1"/>
        <rFont val="Calibri"/>
        <family val="2"/>
        <scheme val="minor"/>
      </rPr>
      <t>)</t>
    </r>
    <r>
      <rPr>
        <b/>
        <sz val="11"/>
        <color rgb="FF56A2F6"/>
        <rFont val="Calibri"/>
        <family val="2"/>
        <scheme val="minor"/>
      </rPr>
      <t>.to_be_checked()</t>
    </r>
  </si>
  <si>
    <r>
      <rPr>
        <b/>
        <sz val="11"/>
        <color rgb="FF56A2F6"/>
        <rFont val="Calibri"/>
        <family val="2"/>
        <scheme val="minor"/>
      </rPr>
      <t>expect</t>
    </r>
    <r>
      <rPr>
        <b/>
        <sz val="11"/>
        <color theme="1"/>
        <rFont val="Calibri"/>
        <family val="2"/>
        <scheme val="minor"/>
      </rPr>
      <t>(</t>
    </r>
    <r>
      <rPr>
        <b/>
        <sz val="11"/>
        <color rgb="FF6AAB73"/>
        <rFont val="Calibri"/>
        <family val="2"/>
        <scheme val="minor"/>
      </rPr>
      <t>locator</t>
    </r>
    <r>
      <rPr>
        <b/>
        <sz val="11"/>
        <color theme="1"/>
        <rFont val="Calibri"/>
        <family val="2"/>
        <scheme val="minor"/>
      </rPr>
      <t>)</t>
    </r>
    <r>
      <rPr>
        <b/>
        <sz val="11"/>
        <color rgb="FF56A2F6"/>
        <rFont val="Calibri"/>
        <family val="2"/>
        <scheme val="minor"/>
      </rPr>
      <t>.to_be_disabled()</t>
    </r>
  </si>
  <si>
    <r>
      <rPr>
        <b/>
        <sz val="11"/>
        <color rgb="FF56A2F6"/>
        <rFont val="Calibri"/>
        <family val="2"/>
        <scheme val="minor"/>
      </rPr>
      <t>expect</t>
    </r>
    <r>
      <rPr>
        <b/>
        <sz val="11"/>
        <color theme="1"/>
        <rFont val="Calibri"/>
        <family val="2"/>
        <scheme val="minor"/>
      </rPr>
      <t>(</t>
    </r>
    <r>
      <rPr>
        <b/>
        <sz val="11"/>
        <color rgb="FF6AAB73"/>
        <rFont val="Calibri"/>
        <family val="2"/>
        <scheme val="minor"/>
      </rPr>
      <t>locator</t>
    </r>
    <r>
      <rPr>
        <b/>
        <sz val="11"/>
        <color theme="1"/>
        <rFont val="Calibri"/>
        <family val="2"/>
        <scheme val="minor"/>
      </rPr>
      <t>).</t>
    </r>
    <r>
      <rPr>
        <b/>
        <sz val="11"/>
        <color rgb="FF56A2F6"/>
        <rFont val="Calibri"/>
        <family val="2"/>
        <scheme val="minor"/>
      </rPr>
      <t>to_be_editable()</t>
    </r>
  </si>
  <si>
    <r>
      <rPr>
        <b/>
        <sz val="11"/>
        <color rgb="FF56A2F6"/>
        <rFont val="Calibri"/>
        <family val="2"/>
        <scheme val="minor"/>
      </rPr>
      <t>expect</t>
    </r>
    <r>
      <rPr>
        <b/>
        <sz val="11"/>
        <color theme="1"/>
        <rFont val="Calibri"/>
        <family val="2"/>
        <scheme val="minor"/>
      </rPr>
      <t>(</t>
    </r>
    <r>
      <rPr>
        <b/>
        <sz val="11"/>
        <color rgb="FF6AAB73"/>
        <rFont val="Calibri"/>
        <family val="2"/>
        <scheme val="minor"/>
      </rPr>
      <t>locator</t>
    </r>
    <r>
      <rPr>
        <b/>
        <sz val="11"/>
        <color theme="1"/>
        <rFont val="Calibri"/>
        <family val="2"/>
        <scheme val="minor"/>
      </rPr>
      <t>).</t>
    </r>
    <r>
      <rPr>
        <b/>
        <sz val="11"/>
        <color rgb="FF56A2F6"/>
        <rFont val="Calibri"/>
        <family val="2"/>
        <scheme val="minor"/>
      </rPr>
      <t>to_be_empty()</t>
    </r>
  </si>
  <si>
    <t>Full List</t>
  </si>
  <si>
    <t>https://playwright.dev/python/docs/test-assertions</t>
  </si>
  <si>
    <t>Failed soft assertions do not terminate test execution, but mark the test as failed.</t>
  </si>
  <si>
    <r>
      <rPr>
        <b/>
        <sz val="11"/>
        <color rgb="FF56A2F6"/>
        <rFont val="Calibri"/>
        <family val="2"/>
        <scheme val="minor"/>
      </rPr>
      <t>expect.</t>
    </r>
    <r>
      <rPr>
        <b/>
        <sz val="11"/>
        <color rgb="FFC97BC0"/>
        <rFont val="Calibri"/>
        <family val="2"/>
        <scheme val="minor"/>
      </rPr>
      <t>soft</t>
    </r>
    <r>
      <rPr>
        <b/>
        <sz val="11"/>
        <color rgb="FF56A2F6"/>
        <rFont val="Calibri"/>
        <family val="2"/>
        <scheme val="minor"/>
      </rPr>
      <t>(</t>
    </r>
    <r>
      <rPr>
        <b/>
        <sz val="11"/>
        <color rgb="FF6AAB73"/>
        <rFont val="Calibri"/>
        <family val="2"/>
        <scheme val="minor"/>
      </rPr>
      <t>locator</t>
    </r>
    <r>
      <rPr>
        <b/>
        <sz val="11"/>
        <color theme="1"/>
        <rFont val="Calibri"/>
        <family val="2"/>
        <scheme val="minor"/>
      </rPr>
      <t>)</t>
    </r>
    <r>
      <rPr>
        <b/>
        <sz val="11"/>
        <color rgb="FF56A2F6"/>
        <rFont val="Calibri"/>
        <family val="2"/>
        <scheme val="minor"/>
      </rPr>
      <t>.to_be_attached()</t>
    </r>
  </si>
  <si>
    <t>Alert Box</t>
  </si>
  <si>
    <r>
      <rPr>
        <b/>
        <sz val="9.8000000000000007"/>
        <color theme="0" tint="-0.499984740745262"/>
        <rFont val="JetBrains Mono"/>
      </rPr>
      <t>page.on(</t>
    </r>
    <r>
      <rPr>
        <b/>
        <sz val="9.8000000000000007"/>
        <color rgb="FF6AAB73"/>
        <rFont val="JetBrains Mono"/>
      </rPr>
      <t>"dialog"</t>
    </r>
    <r>
      <rPr>
        <b/>
        <sz val="9.8000000000000007"/>
        <color rgb="FFBCBEC4"/>
        <rFont val="JetBrains Mono"/>
      </rPr>
      <t xml:space="preserve">, </t>
    </r>
    <r>
      <rPr>
        <b/>
        <sz val="9.8000000000000007"/>
        <color rgb="FFCF8E6D"/>
        <rFont val="JetBrains Mono"/>
      </rPr>
      <t xml:space="preserve">lambda </t>
    </r>
    <r>
      <rPr>
        <b/>
        <sz val="9.8000000000000007"/>
        <color theme="0" tint="-0.499984740745262"/>
        <rFont val="JetBrains Mono"/>
      </rPr>
      <t>dialog:dialog.accept())</t>
    </r>
  </si>
  <si>
    <r>
      <rPr>
        <b/>
        <sz val="9.8000000000000007"/>
        <color theme="0" tint="-0.499984740745262"/>
        <rFont val="JetBrains Mono"/>
      </rPr>
      <t>page.get_by_role(</t>
    </r>
    <r>
      <rPr>
        <b/>
        <sz val="9.8000000000000007"/>
        <color rgb="FF6AAB73"/>
        <rFont val="JetBrains Mono"/>
      </rPr>
      <t>"button"</t>
    </r>
    <r>
      <rPr>
        <b/>
        <sz val="9.8000000000000007"/>
        <color rgb="FFBCBEC4"/>
        <rFont val="JetBrains Mono"/>
      </rPr>
      <t>,</t>
    </r>
    <r>
      <rPr>
        <b/>
        <sz val="9.8000000000000007"/>
        <color rgb="FFAA4926"/>
        <rFont val="JetBrains Mono"/>
      </rPr>
      <t>name</t>
    </r>
    <r>
      <rPr>
        <b/>
        <sz val="9.8000000000000007"/>
        <color rgb="FFBCBEC4"/>
        <rFont val="JetBrains Mono"/>
      </rPr>
      <t>=</t>
    </r>
    <r>
      <rPr>
        <b/>
        <sz val="9.8000000000000007"/>
        <color rgb="FF6AAB73"/>
        <rFont val="JetBrains Mono"/>
      </rPr>
      <t>"Confirm"</t>
    </r>
    <r>
      <rPr>
        <b/>
        <sz val="9.8000000000000007"/>
        <color theme="0" tint="-0.499984740745262"/>
        <rFont val="JetBrains Mono"/>
      </rPr>
      <t>).click()</t>
    </r>
  </si>
  <si>
    <r>
      <rPr>
        <b/>
        <sz val="9.8000000000000007"/>
        <color theme="0" tint="-0.499984740745262"/>
        <rFont val="JetBrains Mono"/>
      </rPr>
      <t>page.locator(</t>
    </r>
    <r>
      <rPr>
        <b/>
        <sz val="9.8000000000000007"/>
        <color rgb="FF6AAB73"/>
        <rFont val="JetBrains Mono"/>
      </rPr>
      <t>"#mousehover"</t>
    </r>
    <r>
      <rPr>
        <b/>
        <sz val="9.8000000000000007"/>
        <color theme="0" tint="-0.499984740745262"/>
        <rFont val="JetBrains Mono"/>
      </rPr>
      <t>).hover()</t>
    </r>
  </si>
  <si>
    <t>Moues hover</t>
  </si>
  <si>
    <t>Get a fixed number element from a list of elements located by same locator</t>
  </si>
  <si>
    <r>
      <rPr>
        <b/>
        <sz val="9.8000000000000007"/>
        <color theme="0" tint="-0.499984740745262"/>
        <rFont val="JetBrains Mono"/>
      </rPr>
      <t>page.locator(</t>
    </r>
    <r>
      <rPr>
        <b/>
        <sz val="9.8000000000000007"/>
        <color rgb="FF6AAB73"/>
        <rFont val="JetBrains Mono"/>
      </rPr>
      <t>"td"</t>
    </r>
    <r>
      <rPr>
        <b/>
        <sz val="9.8000000000000007"/>
        <color rgb="FFBCBEC4"/>
        <rFont val="JetBrains Mono"/>
      </rPr>
      <t>)</t>
    </r>
    <r>
      <rPr>
        <b/>
        <sz val="9.8000000000000007"/>
        <color theme="0" tint="-0.499984740745262"/>
        <rFont val="JetBrains Mono"/>
      </rPr>
      <t>.</t>
    </r>
    <r>
      <rPr>
        <b/>
        <sz val="9.8000000000000007"/>
        <color rgb="FFC97BC0"/>
        <rFont val="JetBrains Mono"/>
      </rPr>
      <t>nth</t>
    </r>
    <r>
      <rPr>
        <b/>
        <sz val="9.8000000000000007"/>
        <color theme="0" tint="-0.499984740745262"/>
        <rFont val="JetBrains Mono"/>
      </rPr>
      <t>(</t>
    </r>
    <r>
      <rPr>
        <b/>
        <sz val="9.8000000000000007"/>
        <color rgb="FF6AAB73"/>
        <rFont val="JetBrains Mono"/>
      </rPr>
      <t>2</t>
    </r>
    <r>
      <rPr>
        <b/>
        <sz val="9.8000000000000007"/>
        <color theme="0" tint="-0.499984740745262"/>
        <rFont val="JetBrains Mono"/>
      </rPr>
      <t>)</t>
    </r>
  </si>
  <si>
    <r>
      <rPr>
        <b/>
        <sz val="9.8000000000000007"/>
        <color theme="0" tint="-0.499984740745262"/>
        <rFont val="JetBrains Mono"/>
      </rPr>
      <t>page.locator(</t>
    </r>
    <r>
      <rPr>
        <b/>
        <sz val="9.8000000000000007"/>
        <color rgb="FF6AAB73"/>
        <rFont val="JetBrains Mono"/>
      </rPr>
      <t>"&lt; locator&gt; "</t>
    </r>
    <r>
      <rPr>
        <b/>
        <sz val="9.8000000000000007"/>
        <color rgb="FFBCBEC4"/>
        <rFont val="JetBrains Mono"/>
      </rPr>
      <t>)</t>
    </r>
    <r>
      <rPr>
        <b/>
        <sz val="9.8000000000000007"/>
        <color theme="0" tint="-0.499984740745262"/>
        <rFont val="JetBrains Mono"/>
      </rPr>
      <t>.</t>
    </r>
    <r>
      <rPr>
        <b/>
        <sz val="9.8000000000000007"/>
        <color rgb="FFC97BC0"/>
        <rFont val="JetBrains Mono"/>
      </rPr>
      <t>nth</t>
    </r>
    <r>
      <rPr>
        <b/>
        <sz val="9.8000000000000007"/>
        <color theme="0" tint="-0.499984740745262"/>
        <rFont val="JetBrains Mono"/>
      </rPr>
      <t>(&lt;index&gt; )</t>
    </r>
  </si>
  <si>
    <t>bounding_box = slider.bounding_box()</t>
  </si>
  <si>
    <t>page.mouse.move(start_x,start_y)</t>
  </si>
  <si>
    <t>page.mouse.down()</t>
  </si>
  <si>
    <t>page.mouse.up()</t>
  </si>
  <si>
    <r>
      <rPr>
        <b/>
        <sz val="9.8000000000000007"/>
        <color theme="0" tint="-0.499984740745262"/>
        <rFont val="JetBrains Mono"/>
      </rPr>
      <t>slider = page.locator</t>
    </r>
    <r>
      <rPr>
        <b/>
        <sz val="9.8000000000000007"/>
        <color rgb="FFBCBEC4"/>
        <rFont val="JetBrains Mono"/>
      </rPr>
      <t>(</t>
    </r>
    <r>
      <rPr>
        <b/>
        <sz val="9.8000000000000007"/>
        <color rgb="FF6AAB73"/>
        <rFont val="JetBrains Mono"/>
      </rPr>
      <t>"//*[@id='slider']/span"</t>
    </r>
    <r>
      <rPr>
        <b/>
        <sz val="9.8000000000000007"/>
        <color rgb="FFBCBEC4"/>
        <rFont val="JetBrains Mono"/>
      </rPr>
      <t>)</t>
    </r>
  </si>
  <si>
    <r>
      <rPr>
        <b/>
        <sz val="9.8000000000000007"/>
        <color theme="0" tint="-0.499984740745262"/>
        <rFont val="JetBrains Mono"/>
      </rPr>
      <t>start_y = bounding_box[</t>
    </r>
    <r>
      <rPr>
        <b/>
        <sz val="9.8000000000000007"/>
        <color rgb="FF6AAB73"/>
        <rFont val="JetBrains Mono"/>
      </rPr>
      <t>"y"</t>
    </r>
    <r>
      <rPr>
        <b/>
        <sz val="9.8000000000000007"/>
        <color theme="0" tint="-0.499984740745262"/>
        <rFont val="JetBrains Mono"/>
      </rPr>
      <t>] + bounding_box[</t>
    </r>
    <r>
      <rPr>
        <b/>
        <sz val="9.8000000000000007"/>
        <color rgb="FF6AAB73"/>
        <rFont val="JetBrains Mono"/>
      </rPr>
      <t>"height"</t>
    </r>
    <r>
      <rPr>
        <b/>
        <sz val="9.8000000000000007"/>
        <color rgb="FFBCBEC4"/>
        <rFont val="JetBrains Mono"/>
      </rPr>
      <t xml:space="preserve">] / </t>
    </r>
    <r>
      <rPr>
        <b/>
        <sz val="9.8000000000000007"/>
        <color rgb="FF2AACB8"/>
        <rFont val="JetBrains Mono"/>
      </rPr>
      <t>2</t>
    </r>
  </si>
  <si>
    <r>
      <rPr>
        <b/>
        <sz val="9.8000000000000007"/>
        <color theme="0" tint="-0.499984740745262"/>
        <rFont val="JetBrains Mono"/>
      </rPr>
      <t>start_x = bounding_box[</t>
    </r>
    <r>
      <rPr>
        <b/>
        <sz val="9.8000000000000007"/>
        <color rgb="FF6AAB73"/>
        <rFont val="JetBrains Mono"/>
      </rPr>
      <t>"x"</t>
    </r>
    <r>
      <rPr>
        <b/>
        <sz val="9.8000000000000007"/>
        <color theme="0" tint="-0.499984740745262"/>
        <rFont val="JetBrains Mono"/>
      </rPr>
      <t>] + bounding_box</t>
    </r>
    <r>
      <rPr>
        <b/>
        <sz val="9.8000000000000007"/>
        <color rgb="FFBCBEC4"/>
        <rFont val="JetBrains Mono"/>
      </rPr>
      <t>[</t>
    </r>
    <r>
      <rPr>
        <b/>
        <sz val="9.8000000000000007"/>
        <color rgb="FF6AAB73"/>
        <rFont val="JetBrains Mono"/>
      </rPr>
      <t>"width"</t>
    </r>
    <r>
      <rPr>
        <b/>
        <sz val="9.8000000000000007"/>
        <color rgb="FFBCBEC4"/>
        <rFont val="JetBrains Mono"/>
      </rPr>
      <t xml:space="preserve">] / </t>
    </r>
    <r>
      <rPr>
        <b/>
        <sz val="9.8000000000000007"/>
        <color rgb="FF2AACB8"/>
        <rFont val="JetBrains Mono"/>
      </rPr>
      <t>2</t>
    </r>
  </si>
  <si>
    <t>Resizeable</t>
  </si>
  <si>
    <r>
      <rPr>
        <b/>
        <sz val="9.8000000000000007"/>
        <color theme="0" tint="-0.499984740745262"/>
        <rFont val="JetBrains Mono"/>
      </rPr>
      <t xml:space="preserve">page.mouse.move(start_x + </t>
    </r>
    <r>
      <rPr>
        <b/>
        <sz val="9.8000000000000007"/>
        <color rgb="FF2AACB8"/>
        <rFont val="JetBrains Mono"/>
      </rPr>
      <t>400</t>
    </r>
    <r>
      <rPr>
        <b/>
        <sz val="9.8000000000000007"/>
        <color theme="0" tint="-0.499984740745262"/>
        <rFont val="JetBrains Mono"/>
      </rPr>
      <t>, start_y)</t>
    </r>
  </si>
  <si>
    <r>
      <rPr>
        <b/>
        <sz val="9.8000000000000007"/>
        <rFont val="JetBrains Mono"/>
      </rPr>
      <t>Same as above. The only distance is:</t>
    </r>
    <r>
      <rPr>
        <b/>
        <sz val="9.8000000000000007"/>
        <color theme="0" tint="-0.499984740745262"/>
        <rFont val="JetBrains Mono"/>
      </rPr>
      <t xml:space="preserve">
page.mouse.move(start_x + </t>
    </r>
    <r>
      <rPr>
        <b/>
        <sz val="9.8000000000000007"/>
        <color rgb="FF2AACB8"/>
        <rFont val="JetBrains Mono"/>
      </rPr>
      <t>400</t>
    </r>
    <r>
      <rPr>
        <b/>
        <sz val="9.8000000000000007"/>
        <color theme="0" tint="-0.499984740745262"/>
        <rFont val="JetBrains Mono"/>
      </rPr>
      <t xml:space="preserve">, start_y + </t>
    </r>
    <r>
      <rPr>
        <b/>
        <sz val="9.8000000000000007"/>
        <color rgb="FF2AACB8"/>
        <rFont val="JetBrains Mono"/>
      </rPr>
      <t>400</t>
    </r>
    <r>
      <rPr>
        <b/>
        <sz val="9.8000000000000007"/>
        <color theme="0" tint="-0.499984740745262"/>
        <rFont val="JetBrains Mono"/>
      </rPr>
      <t>)</t>
    </r>
  </si>
  <si>
    <t>draggable_box = draggable.bounding_box()</t>
  </si>
  <si>
    <t>droppable_box = droppable.bounding_box()</t>
  </si>
  <si>
    <r>
      <rPr>
        <b/>
        <sz val="9.8000000000000007"/>
        <color theme="0" tint="-0.499984740745262"/>
        <rFont val="JetBrains Mono"/>
      </rPr>
      <t>draggable = page.locator(</t>
    </r>
    <r>
      <rPr>
        <b/>
        <sz val="9.8000000000000007"/>
        <color rgb="FF6AAB73"/>
        <rFont val="JetBrains Mono"/>
      </rPr>
      <t>"#draggable"</t>
    </r>
    <r>
      <rPr>
        <b/>
        <sz val="9.8000000000000007"/>
        <color rgb="FFBCBEC4"/>
        <rFont val="JetBrains Mono"/>
      </rPr>
      <t>)</t>
    </r>
  </si>
  <si>
    <r>
      <rPr>
        <b/>
        <sz val="9.8000000000000007"/>
        <color theme="0" tint="-0.499984740745262"/>
        <rFont val="JetBrains Mono"/>
      </rPr>
      <t>droppable = page.locator(</t>
    </r>
    <r>
      <rPr>
        <b/>
        <sz val="9.8000000000000007"/>
        <color rgb="FF6AAB73"/>
        <rFont val="JetBrains Mono"/>
      </rPr>
      <t>"#droppable"</t>
    </r>
    <r>
      <rPr>
        <b/>
        <sz val="9.8000000000000007"/>
        <color rgb="FFBCBEC4"/>
        <rFont val="JetBrains Mono"/>
      </rPr>
      <t>)</t>
    </r>
  </si>
  <si>
    <t>page.mouse.move(</t>
  </si>
  <si>
    <t>)</t>
  </si>
  <si>
    <r>
      <t xml:space="preserve">    </t>
    </r>
    <r>
      <rPr>
        <b/>
        <sz val="9.8000000000000007"/>
        <color theme="0" tint="-0.499984740745262"/>
        <rFont val="JetBrains Mono"/>
      </rPr>
      <t>draggable_box[</t>
    </r>
    <r>
      <rPr>
        <b/>
        <sz val="9.8000000000000007"/>
        <color rgb="FF6AAB73"/>
        <rFont val="JetBrains Mono"/>
      </rPr>
      <t>"x"</t>
    </r>
    <r>
      <rPr>
        <b/>
        <sz val="9.8000000000000007"/>
        <color rgb="FFBCBEC4"/>
        <rFont val="JetBrains Mono"/>
      </rPr>
      <t xml:space="preserve">] </t>
    </r>
    <r>
      <rPr>
        <b/>
        <sz val="9.8000000000000007"/>
        <color theme="0" tint="-0.499984740745262"/>
        <rFont val="JetBrains Mono"/>
      </rPr>
      <t>+ draggable_box[</t>
    </r>
    <r>
      <rPr>
        <b/>
        <sz val="9.8000000000000007"/>
        <color rgb="FF6AAB73"/>
        <rFont val="JetBrains Mono"/>
      </rPr>
      <t>"width"</t>
    </r>
    <r>
      <rPr>
        <b/>
        <sz val="9.8000000000000007"/>
        <color rgb="FFBCBEC4"/>
        <rFont val="JetBrains Mono"/>
      </rPr>
      <t xml:space="preserve">] / </t>
    </r>
    <r>
      <rPr>
        <b/>
        <sz val="9.8000000000000007"/>
        <color rgb="FF2AACB8"/>
        <rFont val="JetBrains Mono"/>
      </rPr>
      <t>2</t>
    </r>
    <r>
      <rPr>
        <b/>
        <sz val="9.8000000000000007"/>
        <color rgb="FFBCBEC4"/>
        <rFont val="JetBrains Mono"/>
      </rPr>
      <t>,</t>
    </r>
  </si>
  <si>
    <r>
      <rPr>
        <b/>
        <sz val="9.8000000000000007"/>
        <color rgb="FFBCBEC4"/>
        <rFont val="JetBrains Mono"/>
      </rPr>
      <t xml:space="preserve">    </t>
    </r>
    <r>
      <rPr>
        <b/>
        <sz val="9.8000000000000007"/>
        <color theme="0" tint="-0.499984740745262"/>
        <rFont val="JetBrains Mono"/>
      </rPr>
      <t>draggable_box</t>
    </r>
    <r>
      <rPr>
        <b/>
        <sz val="9.8000000000000007"/>
        <color rgb="FFBCBEC4"/>
        <rFont val="JetBrains Mono"/>
      </rPr>
      <t>[</t>
    </r>
    <r>
      <rPr>
        <b/>
        <sz val="9.8000000000000007"/>
        <color rgb="FF6AAB73"/>
        <rFont val="JetBrains Mono"/>
      </rPr>
      <t>"y"</t>
    </r>
    <r>
      <rPr>
        <b/>
        <sz val="9.8000000000000007"/>
        <color rgb="FFBCBEC4"/>
        <rFont val="JetBrains Mono"/>
      </rPr>
      <t xml:space="preserve">] </t>
    </r>
    <r>
      <rPr>
        <b/>
        <sz val="9.8000000000000007"/>
        <color theme="0" tint="-0.499984740745262"/>
        <rFont val="JetBrains Mono"/>
      </rPr>
      <t>+ draggable_box[</t>
    </r>
    <r>
      <rPr>
        <b/>
        <sz val="9.8000000000000007"/>
        <color rgb="FF6AAB73"/>
        <rFont val="JetBrains Mono"/>
      </rPr>
      <t>"height"</t>
    </r>
    <r>
      <rPr>
        <b/>
        <sz val="9.8000000000000007"/>
        <color rgb="FFBCBEC4"/>
        <rFont val="JetBrains Mono"/>
      </rPr>
      <t xml:space="preserve">] / </t>
    </r>
    <r>
      <rPr>
        <b/>
        <sz val="9.8000000000000007"/>
        <color rgb="FF2AACB8"/>
        <rFont val="JetBrains Mono"/>
      </rPr>
      <t>2</t>
    </r>
  </si>
  <si>
    <r>
      <t xml:space="preserve">    </t>
    </r>
    <r>
      <rPr>
        <b/>
        <sz val="9.8000000000000007"/>
        <color theme="0" tint="-0.499984740745262"/>
        <rFont val="JetBrains Mono"/>
      </rPr>
      <t>droppable_box[</t>
    </r>
    <r>
      <rPr>
        <b/>
        <sz val="9.8000000000000007"/>
        <color rgb="FF6AAB73"/>
        <rFont val="JetBrains Mono"/>
      </rPr>
      <t>"x"</t>
    </r>
    <r>
      <rPr>
        <b/>
        <sz val="9.8000000000000007"/>
        <color rgb="FFBCBEC4"/>
        <rFont val="JetBrains Mono"/>
      </rPr>
      <t xml:space="preserve">] </t>
    </r>
    <r>
      <rPr>
        <b/>
        <sz val="9.8000000000000007"/>
        <color theme="0" tint="-0.499984740745262"/>
        <rFont val="JetBrains Mono"/>
      </rPr>
      <t>+ droppable_box[</t>
    </r>
    <r>
      <rPr>
        <b/>
        <sz val="9.8000000000000007"/>
        <color rgb="FF6AAB73"/>
        <rFont val="JetBrains Mono"/>
      </rPr>
      <t>"width"</t>
    </r>
    <r>
      <rPr>
        <b/>
        <sz val="9.8000000000000007"/>
        <color rgb="FFBCBEC4"/>
        <rFont val="JetBrains Mono"/>
      </rPr>
      <t xml:space="preserve">] / </t>
    </r>
    <r>
      <rPr>
        <b/>
        <sz val="9.8000000000000007"/>
        <color rgb="FF2AACB8"/>
        <rFont val="JetBrains Mono"/>
      </rPr>
      <t>2</t>
    </r>
    <r>
      <rPr>
        <b/>
        <sz val="9.8000000000000007"/>
        <color rgb="FFBCBEC4"/>
        <rFont val="JetBrains Mono"/>
      </rPr>
      <t>,</t>
    </r>
  </si>
  <si>
    <r>
      <t xml:space="preserve">    </t>
    </r>
    <r>
      <rPr>
        <b/>
        <sz val="9.8000000000000007"/>
        <color theme="0" tint="-0.499984740745262"/>
        <rFont val="JetBrains Mono"/>
      </rPr>
      <t>droppable_box</t>
    </r>
    <r>
      <rPr>
        <b/>
        <sz val="9.8000000000000007"/>
        <color rgb="FFBCBEC4"/>
        <rFont val="JetBrains Mono"/>
      </rPr>
      <t>[</t>
    </r>
    <r>
      <rPr>
        <b/>
        <sz val="9.8000000000000007"/>
        <color rgb="FF6AAB73"/>
        <rFont val="JetBrains Mono"/>
      </rPr>
      <t>"y"</t>
    </r>
    <r>
      <rPr>
        <b/>
        <sz val="9.8000000000000007"/>
        <color rgb="FFBCBEC4"/>
        <rFont val="JetBrains Mono"/>
      </rPr>
      <t xml:space="preserve">] </t>
    </r>
    <r>
      <rPr>
        <b/>
        <sz val="9.8000000000000007"/>
        <color theme="0" tint="-0.499984740745262"/>
        <rFont val="JetBrains Mono"/>
      </rPr>
      <t>+ droppable_box[</t>
    </r>
    <r>
      <rPr>
        <b/>
        <sz val="9.8000000000000007"/>
        <color rgb="FF6AAB73"/>
        <rFont val="JetBrains Mono"/>
      </rPr>
      <t>"height"</t>
    </r>
    <r>
      <rPr>
        <b/>
        <sz val="9.8000000000000007"/>
        <color rgb="FFBCBEC4"/>
        <rFont val="JetBrains Mono"/>
      </rPr>
      <t xml:space="preserve">] / </t>
    </r>
    <r>
      <rPr>
        <b/>
        <sz val="9.8000000000000007"/>
        <color rgb="FF2AACB8"/>
        <rFont val="JetBrains Mono"/>
      </rPr>
      <t>2</t>
    </r>
  </si>
  <si>
    <t>Right-Click</t>
  </si>
  <si>
    <r>
      <rPr>
        <b/>
        <sz val="9.8000000000000007"/>
        <color theme="0" tint="-0.499984740745262"/>
        <rFont val="JetBrains Mono"/>
      </rPr>
      <t>page.locator(</t>
    </r>
    <r>
      <rPr>
        <b/>
        <sz val="9.8000000000000007"/>
        <color rgb="FF6AAB73"/>
        <rFont val="JetBrains Mono"/>
      </rPr>
      <t>"//p[2]/img"</t>
    </r>
    <r>
      <rPr>
        <b/>
        <sz val="9.8000000000000007"/>
        <color rgb="FFBCBEC4"/>
        <rFont val="JetBrains Mono"/>
      </rPr>
      <t>)</t>
    </r>
    <r>
      <rPr>
        <b/>
        <sz val="9.8000000000000007"/>
        <color theme="0" tint="-0.499984740745262"/>
        <rFont val="JetBrains Mono"/>
      </rPr>
      <t>.click(</t>
    </r>
    <r>
      <rPr>
        <b/>
        <sz val="9.8000000000000007"/>
        <color rgb="FFAA4926"/>
        <rFont val="JetBrains Mono"/>
      </rPr>
      <t>button</t>
    </r>
    <r>
      <rPr>
        <b/>
        <sz val="9.8000000000000007"/>
        <color rgb="FFBCBEC4"/>
        <rFont val="JetBrains Mono"/>
      </rPr>
      <t>=</t>
    </r>
    <r>
      <rPr>
        <b/>
        <sz val="9.8000000000000007"/>
        <color rgb="FF6AAB73"/>
        <rFont val="JetBrains Mono"/>
      </rPr>
      <t>"right"</t>
    </r>
    <r>
      <rPr>
        <b/>
        <sz val="9.8000000000000007"/>
        <color rgb="FFBCBEC4"/>
        <rFont val="JetBrains Mono"/>
      </rPr>
      <t>)</t>
    </r>
  </si>
  <si>
    <t xml:space="preserve">    dialog.accept()</t>
  </si>
  <si>
    <r>
      <rPr>
        <b/>
        <sz val="9.8000000000000007"/>
        <color rgb="FFBCBEC4"/>
        <rFont val="JetBrains Mono"/>
      </rPr>
      <t xml:space="preserve">    </t>
    </r>
    <r>
      <rPr>
        <b/>
        <sz val="9.8000000000000007"/>
        <color rgb="FF8888C6"/>
        <rFont val="JetBrains Mono"/>
      </rPr>
      <t>print</t>
    </r>
    <r>
      <rPr>
        <b/>
        <sz val="9.8000000000000007"/>
        <color rgb="FFBCBEC4"/>
        <rFont val="JetBrains Mono"/>
      </rPr>
      <t>(dialog.message)</t>
    </r>
  </si>
  <si>
    <r>
      <t xml:space="preserve">def </t>
    </r>
    <r>
      <rPr>
        <b/>
        <sz val="9.8000000000000007"/>
        <color rgb="FF56A8F5"/>
        <rFont val="JetBrains Mono"/>
      </rPr>
      <t>dialog_handler</t>
    </r>
    <r>
      <rPr>
        <b/>
        <sz val="9.8000000000000007"/>
        <color rgb="FFBCBEC4"/>
        <rFont val="JetBrains Mono"/>
      </rPr>
      <t>(dialog):</t>
    </r>
  </si>
  <si>
    <r>
      <rPr>
        <b/>
        <sz val="9.8000000000000007"/>
        <rFont val="JetBrains Mono"/>
      </rPr>
      <t>OR</t>
    </r>
    <r>
      <rPr>
        <b/>
        <sz val="9.8000000000000007"/>
        <color theme="0" tint="-0.499984740745262"/>
        <rFont val="JetBrains Mono"/>
      </rPr>
      <t xml:space="preserve"> page.on(</t>
    </r>
    <r>
      <rPr>
        <b/>
        <sz val="9.8000000000000007"/>
        <color rgb="FF6AAB73"/>
        <rFont val="JetBrains Mono"/>
      </rPr>
      <t>"dialog"</t>
    </r>
    <r>
      <rPr>
        <b/>
        <sz val="9.8000000000000007"/>
        <color rgb="FFBCBEC4"/>
        <rFont val="JetBrains Mono"/>
      </rPr>
      <t xml:space="preserve">, </t>
    </r>
    <r>
      <rPr>
        <b/>
        <sz val="9.8000000000000007"/>
        <color rgb="FF56A2F6"/>
        <rFont val="JetBrains Mono"/>
      </rPr>
      <t>dialog_handler</t>
    </r>
    <r>
      <rPr>
        <b/>
        <sz val="9.8000000000000007"/>
        <color theme="0" tint="-0.499984740745262"/>
        <rFont val="JetBrains Mono"/>
      </rPr>
      <t>)</t>
    </r>
  </si>
  <si>
    <t>Frames</t>
  </si>
  <si>
    <r>
      <rPr>
        <b/>
        <sz val="9.8000000000000007"/>
        <color theme="0" tint="-0.499984740745262"/>
        <rFont val="JetBrains Mono"/>
      </rPr>
      <t>frame = page.frame_locator(</t>
    </r>
    <r>
      <rPr>
        <b/>
        <sz val="9.8000000000000007"/>
        <color rgb="FF6AAB73"/>
        <rFont val="JetBrains Mono"/>
      </rPr>
      <t>"#iframeResult"</t>
    </r>
    <r>
      <rPr>
        <b/>
        <sz val="9.8000000000000007"/>
        <color rgb="FFBCBEC4"/>
        <rFont val="JetBrains Mono"/>
      </rPr>
      <t>)</t>
    </r>
  </si>
  <si>
    <r>
      <rPr>
        <b/>
        <sz val="9.8000000000000007"/>
        <color theme="0" tint="-0.499984740745262"/>
        <rFont val="JetBrains Mono"/>
      </rPr>
      <t>frame.locator(</t>
    </r>
    <r>
      <rPr>
        <b/>
        <sz val="9.8000000000000007"/>
        <color rgb="FF6AAB73"/>
        <rFont val="JetBrains Mono"/>
      </rPr>
      <t>"#fname"</t>
    </r>
    <r>
      <rPr>
        <b/>
        <sz val="9.8000000000000007"/>
        <color theme="0" tint="-0.499984740745262"/>
        <rFont val="JetBrains Mono"/>
      </rPr>
      <t>).clear()</t>
    </r>
  </si>
  <si>
    <r>
      <rPr>
        <b/>
        <sz val="9.8000000000000007"/>
        <color theme="0" tint="-0.499984740745262"/>
        <rFont val="JetBrains Mono"/>
      </rPr>
      <t>frame.locator(</t>
    </r>
    <r>
      <rPr>
        <b/>
        <sz val="9.8000000000000007"/>
        <color rgb="FF6AAB73"/>
        <rFont val="JetBrains Mono"/>
      </rPr>
      <t>"#fname"</t>
    </r>
    <r>
      <rPr>
        <b/>
        <sz val="9.8000000000000007"/>
        <color theme="0" tint="-0.499984740745262"/>
        <rFont val="JetBrains Mono"/>
      </rPr>
      <t>).fill(</t>
    </r>
    <r>
      <rPr>
        <b/>
        <sz val="9.8000000000000007"/>
        <color rgb="FF6AAB73"/>
        <rFont val="JetBrains Mono"/>
      </rPr>
      <t>"Rahul"</t>
    </r>
    <r>
      <rPr>
        <b/>
        <sz val="9.8000000000000007"/>
        <color rgb="FFBCBEC4"/>
        <rFont val="JetBrains Mono"/>
      </rPr>
      <t>)</t>
    </r>
  </si>
  <si>
    <t>Javascript</t>
  </si>
  <si>
    <r>
      <rPr>
        <b/>
        <sz val="9.8000000000000007"/>
        <color theme="0" tint="-0.499984740745262"/>
        <rFont val="JetBrains Mono"/>
      </rPr>
      <t>frame.locator(</t>
    </r>
    <r>
      <rPr>
        <b/>
        <sz val="9.8000000000000007"/>
        <color rgb="FF6AAB73"/>
        <rFont val="JetBrains Mono"/>
      </rPr>
      <t>"[type='submit']"</t>
    </r>
    <r>
      <rPr>
        <b/>
        <sz val="9.8000000000000007"/>
        <color rgb="FFBCBEC4"/>
        <rFont val="JetBrains Mono"/>
      </rPr>
      <t>).</t>
    </r>
    <r>
      <rPr>
        <b/>
        <sz val="9.8000000000000007"/>
        <color theme="0" tint="-0.499984740745262"/>
        <rFont val="JetBrains Mono"/>
      </rPr>
      <t>evaluate</t>
    </r>
    <r>
      <rPr>
        <b/>
        <sz val="9.8000000000000007"/>
        <color rgb="FFBCBEC4"/>
        <rFont val="JetBrains Mono"/>
      </rPr>
      <t>(</t>
    </r>
    <r>
      <rPr>
        <b/>
        <sz val="9.8000000000000007"/>
        <color rgb="FF6AAB73"/>
        <rFont val="JetBrains Mono"/>
      </rPr>
      <t>"(element) =&gt;{element.style.border = '3px solid red';}"</t>
    </r>
    <r>
      <rPr>
        <b/>
        <sz val="9.8000000000000007"/>
        <color rgb="FFBCBEC4"/>
        <rFont val="JetBrains Mono"/>
      </rPr>
      <t>)</t>
    </r>
  </si>
  <si>
    <r>
      <rPr>
        <b/>
        <sz val="9.8000000000000007"/>
        <color theme="0" tint="-0.499984740745262"/>
        <rFont val="JetBrains Mono"/>
      </rPr>
      <t>frame.locator(</t>
    </r>
    <r>
      <rPr>
        <b/>
        <sz val="9.8000000000000007"/>
        <color rgb="FF6AAB73"/>
        <rFont val="JetBrains Mono"/>
      </rPr>
      <t>"&lt;Locator&gt;"</t>
    </r>
    <r>
      <rPr>
        <b/>
        <sz val="9.8000000000000007"/>
        <color rgb="FFBCBEC4"/>
        <rFont val="JetBrains Mono"/>
      </rPr>
      <t>).</t>
    </r>
    <r>
      <rPr>
        <b/>
        <sz val="9.8000000000000007"/>
        <color theme="0" tint="-0.499984740745262"/>
        <rFont val="JetBrains Mono"/>
      </rPr>
      <t>evaluate</t>
    </r>
    <r>
      <rPr>
        <b/>
        <sz val="9.8000000000000007"/>
        <color rgb="FFBCBEC4"/>
        <rFont val="JetBrains Mono"/>
      </rPr>
      <t>(</t>
    </r>
    <r>
      <rPr>
        <b/>
        <sz val="9.8000000000000007"/>
        <color rgb="FF6AAB73"/>
        <rFont val="JetBrains Mono"/>
      </rPr>
      <t>"&lt;Javascript&gt;"</t>
    </r>
    <r>
      <rPr>
        <b/>
        <sz val="9.8000000000000007"/>
        <color rgb="FFBCBEC4"/>
        <rFont val="JetBrains Mono"/>
      </rPr>
      <t>)</t>
    </r>
  </si>
  <si>
    <t>Launch the browser with the https authentication</t>
  </si>
  <si>
    <t>context = browser.new_context(</t>
  </si>
  <si>
    <r>
      <t xml:space="preserve">    </t>
    </r>
    <r>
      <rPr>
        <b/>
        <sz val="9.8000000000000007"/>
        <color rgb="FFAA4926"/>
        <rFont val="JetBrains Mono"/>
      </rPr>
      <t>http_credentials</t>
    </r>
    <r>
      <rPr>
        <b/>
        <sz val="9.8000000000000007"/>
        <color rgb="FFBCBEC4"/>
        <rFont val="JetBrains Mono"/>
      </rPr>
      <t>={</t>
    </r>
    <r>
      <rPr>
        <b/>
        <sz val="9.8000000000000007"/>
        <color rgb="FF6AAB73"/>
        <rFont val="JetBrains Mono"/>
      </rPr>
      <t>"username"</t>
    </r>
    <r>
      <rPr>
        <b/>
        <sz val="9.8000000000000007"/>
        <color rgb="FFBCBEC4"/>
        <rFont val="JetBrains Mono"/>
      </rPr>
      <t>:</t>
    </r>
    <r>
      <rPr>
        <b/>
        <sz val="9.8000000000000007"/>
        <color rgb="FF6AAB73"/>
        <rFont val="JetBrains Mono"/>
      </rPr>
      <t>"admin"</t>
    </r>
    <r>
      <rPr>
        <b/>
        <sz val="9.8000000000000007"/>
        <color rgb="FFBCBEC4"/>
        <rFont val="JetBrains Mono"/>
      </rPr>
      <t>,</t>
    </r>
    <r>
      <rPr>
        <b/>
        <sz val="9.8000000000000007"/>
        <color rgb="FF6AAB73"/>
        <rFont val="JetBrains Mono"/>
      </rPr>
      <t>"password"</t>
    </r>
    <r>
      <rPr>
        <b/>
        <sz val="9.8000000000000007"/>
        <color rgb="FFBCBEC4"/>
        <rFont val="JetBrains Mono"/>
      </rPr>
      <t>:</t>
    </r>
    <r>
      <rPr>
        <b/>
        <sz val="9.8000000000000007"/>
        <color rgb="FF6AAB73"/>
        <rFont val="JetBrains Mono"/>
      </rPr>
      <t>"admin"</t>
    </r>
    <r>
      <rPr>
        <b/>
        <sz val="9.8000000000000007"/>
        <color rgb="FFBCBEC4"/>
        <rFont val="JetBrains Mono"/>
      </rPr>
      <t>}</t>
    </r>
    <r>
      <rPr>
        <b/>
        <sz val="9.8000000000000007"/>
        <color theme="0" tint="-0.499984740745262"/>
        <rFont val="JetBrains Mono"/>
      </rPr>
      <t>)</t>
    </r>
  </si>
  <si>
    <t>File Upload</t>
  </si>
  <si>
    <t>])</t>
  </si>
  <si>
    <r>
      <t xml:space="preserve">    </t>
    </r>
    <r>
      <rPr>
        <b/>
        <sz val="9.8000000000000007"/>
        <color rgb="FF6AAB73"/>
        <rFont val="JetBrains Mono"/>
      </rPr>
      <t>"C:</t>
    </r>
    <r>
      <rPr>
        <b/>
        <sz val="9.8000000000000007"/>
        <color rgb="FFCF8E6D"/>
        <rFont val="JetBrains Mono"/>
      </rPr>
      <t>\\</t>
    </r>
    <r>
      <rPr>
        <b/>
        <sz val="9.8000000000000007"/>
        <color rgb="FF6AAB73"/>
        <rFont val="JetBrains Mono"/>
      </rPr>
      <t>Users</t>
    </r>
    <r>
      <rPr>
        <b/>
        <sz val="9.8000000000000007"/>
        <color rgb="FFCF8E6D"/>
        <rFont val="JetBrains Mono"/>
      </rPr>
      <t>\\</t>
    </r>
    <r>
      <rPr>
        <b/>
        <sz val="9.8000000000000007"/>
        <color rgb="FF6AAB73"/>
        <rFont val="JetBrains Mono"/>
      </rPr>
      <t>Mayuresh</t>
    </r>
    <r>
      <rPr>
        <b/>
        <sz val="9.8000000000000007"/>
        <color rgb="FFCF8E6D"/>
        <rFont val="JetBrains Mono"/>
      </rPr>
      <t>\\</t>
    </r>
    <r>
      <rPr>
        <b/>
        <sz val="9.8000000000000007"/>
        <color rgb="FF6AAB73"/>
        <rFont val="JetBrains Mono"/>
      </rPr>
      <t>Desktop</t>
    </r>
    <r>
      <rPr>
        <b/>
        <sz val="9.8000000000000007"/>
        <color rgb="FFCF8E6D"/>
        <rFont val="JetBrains Mono"/>
      </rPr>
      <t>\\</t>
    </r>
    <r>
      <rPr>
        <b/>
        <sz val="9.8000000000000007"/>
        <color rgb="FF6AAB73"/>
        <rFont val="JetBrains Mono"/>
      </rPr>
      <t>createaccount.png"</t>
    </r>
    <r>
      <rPr>
        <b/>
        <sz val="9.8000000000000007"/>
        <color rgb="FFBCBEC4"/>
        <rFont val="JetBrains Mono"/>
      </rPr>
      <t>,</t>
    </r>
  </si>
  <si>
    <r>
      <t xml:space="preserve">    </t>
    </r>
    <r>
      <rPr>
        <b/>
        <sz val="9.8000000000000007"/>
        <color rgb="FF6AAB73"/>
        <rFont val="JetBrains Mono"/>
      </rPr>
      <t>"C:</t>
    </r>
    <r>
      <rPr>
        <b/>
        <sz val="9.8000000000000007"/>
        <color rgb="FFCF8E6D"/>
        <rFont val="JetBrains Mono"/>
      </rPr>
      <t>\\</t>
    </r>
    <r>
      <rPr>
        <b/>
        <sz val="9.8000000000000007"/>
        <color rgb="FF6AAB73"/>
        <rFont val="JetBrains Mono"/>
      </rPr>
      <t>Users</t>
    </r>
    <r>
      <rPr>
        <b/>
        <sz val="9.8000000000000007"/>
        <color rgb="FFCF8E6D"/>
        <rFont val="JetBrains Mono"/>
      </rPr>
      <t>\\</t>
    </r>
    <r>
      <rPr>
        <b/>
        <sz val="9.8000000000000007"/>
        <color rgb="FF6AAB73"/>
        <rFont val="JetBrains Mono"/>
      </rPr>
      <t>Mayuresh</t>
    </r>
    <r>
      <rPr>
        <b/>
        <sz val="9.8000000000000007"/>
        <color rgb="FFCF8E6D"/>
        <rFont val="JetBrains Mono"/>
      </rPr>
      <t>\\</t>
    </r>
    <r>
      <rPr>
        <b/>
        <sz val="9.8000000000000007"/>
        <color rgb="FF6AAB73"/>
        <rFont val="JetBrains Mono"/>
      </rPr>
      <t>Desktop</t>
    </r>
    <r>
      <rPr>
        <b/>
        <sz val="9.8000000000000007"/>
        <color rgb="FFCF8E6D"/>
        <rFont val="JetBrains Mono"/>
      </rPr>
      <t>\\</t>
    </r>
    <r>
      <rPr>
        <b/>
        <sz val="9.8000000000000007"/>
        <color rgb="FF6AAB73"/>
        <rFont val="JetBrains Mono"/>
      </rPr>
      <t>misc.png"</t>
    </r>
  </si>
  <si>
    <r>
      <rPr>
        <b/>
        <sz val="9.8000000000000007"/>
        <color theme="0" tint="-0.499984740745262"/>
        <rFont val="JetBrains Mono"/>
      </rPr>
      <t>page.locator(</t>
    </r>
    <r>
      <rPr>
        <b/>
        <sz val="9.8000000000000007"/>
        <color rgb="FF6AAB73"/>
        <rFont val="JetBrains Mono"/>
      </rPr>
      <t>"#myFile"</t>
    </r>
    <r>
      <rPr>
        <b/>
        <sz val="9.8000000000000007"/>
        <color theme="0" tint="-0.499984740745262"/>
        <rFont val="JetBrains Mono"/>
      </rPr>
      <t>).set_input_files([</t>
    </r>
  </si>
  <si>
    <t>File Download</t>
  </si>
  <si>
    <t>download = download_info.value</t>
  </si>
  <si>
    <t>download.save_as(file_path)</t>
  </si>
  <si>
    <r>
      <t xml:space="preserve">with </t>
    </r>
    <r>
      <rPr>
        <b/>
        <sz val="9.8000000000000007"/>
        <color theme="0" tint="-0.499984740745262"/>
        <rFont val="JetBrains Mono"/>
      </rPr>
      <t>page.expect_download()</t>
    </r>
    <r>
      <rPr>
        <b/>
        <sz val="9.8000000000000007"/>
        <color rgb="FFBCBEC4"/>
        <rFont val="JetBrains Mono"/>
      </rPr>
      <t xml:space="preserve"> </t>
    </r>
    <r>
      <rPr>
        <b/>
        <sz val="9.8000000000000007"/>
        <color rgb="FFCF8E6D"/>
        <rFont val="JetBrains Mono"/>
      </rPr>
      <t xml:space="preserve">as </t>
    </r>
    <r>
      <rPr>
        <b/>
        <sz val="9.8000000000000007"/>
        <color theme="0" tint="-0.499984740745262"/>
        <rFont val="JetBrains Mono"/>
      </rPr>
      <t>download_info:</t>
    </r>
  </si>
  <si>
    <r>
      <t xml:space="preserve">    </t>
    </r>
    <r>
      <rPr>
        <b/>
        <sz val="9.8000000000000007"/>
        <color theme="0" tint="-0.499984740745262"/>
        <rFont val="JetBrains Mono"/>
      </rPr>
      <t>page.locator(</t>
    </r>
    <r>
      <rPr>
        <b/>
        <sz val="9.8000000000000007"/>
        <color rgb="FF6AAB73"/>
        <rFont val="JetBrains Mono"/>
      </rPr>
      <t>"body &gt; div &gt; p:nth-child(1) &gt; a"</t>
    </r>
    <r>
      <rPr>
        <b/>
        <sz val="9.8000000000000007"/>
        <color theme="0" tint="-0.499984740745262"/>
        <rFont val="JetBrains Mono"/>
      </rPr>
      <t>).click()</t>
    </r>
  </si>
  <si>
    <r>
      <rPr>
        <b/>
        <sz val="9.8000000000000007"/>
        <color theme="0" tint="-0.499984740745262"/>
        <rFont val="JetBrains Mono"/>
      </rPr>
      <t>project_directory = os.path.join(os.path.dirname(os.getcwd()),</t>
    </r>
    <r>
      <rPr>
        <b/>
        <sz val="9.8000000000000007"/>
        <color rgb="FF6AAB73"/>
        <rFont val="JetBrains Mono"/>
      </rPr>
      <t>"downloads"</t>
    </r>
    <r>
      <rPr>
        <b/>
        <sz val="9.8000000000000007"/>
        <color rgb="FFBCBEC4"/>
        <rFont val="JetBrains Mono"/>
      </rPr>
      <t>)</t>
    </r>
  </si>
  <si>
    <r>
      <rPr>
        <b/>
        <sz val="9.8000000000000007"/>
        <color theme="0" tint="-0.499984740745262"/>
        <rFont val="JetBrains Mono"/>
      </rPr>
      <t>os.makedirs(project_directory</t>
    </r>
    <r>
      <rPr>
        <b/>
        <sz val="9.8000000000000007"/>
        <color rgb="FFBCBEC4"/>
        <rFont val="JetBrains Mono"/>
      </rPr>
      <t>,</t>
    </r>
    <r>
      <rPr>
        <b/>
        <sz val="9.8000000000000007"/>
        <color rgb="FFAA4926"/>
        <rFont val="JetBrains Mono"/>
      </rPr>
      <t>exist_ok</t>
    </r>
    <r>
      <rPr>
        <b/>
        <sz val="9.8000000000000007"/>
        <color rgb="FFBCBEC4"/>
        <rFont val="JetBrains Mono"/>
      </rPr>
      <t>=</t>
    </r>
    <r>
      <rPr>
        <b/>
        <sz val="9.8000000000000007"/>
        <color rgb="FFCF8E6D"/>
        <rFont val="JetBrains Mono"/>
      </rPr>
      <t>True</t>
    </r>
    <r>
      <rPr>
        <b/>
        <sz val="9.8000000000000007"/>
        <color rgb="FFBCBEC4"/>
        <rFont val="JetBrains Mono"/>
      </rPr>
      <t>)</t>
    </r>
  </si>
  <si>
    <r>
      <rPr>
        <b/>
        <sz val="9.8000000000000007"/>
        <color theme="0" tint="-0.499984740745262"/>
        <rFont val="JetBrains Mono"/>
      </rPr>
      <t>file_path = os.path.join(project_directory,</t>
    </r>
    <r>
      <rPr>
        <b/>
        <sz val="9.8000000000000007"/>
        <color rgb="FF6AAB73"/>
        <rFont val="JetBrains Mono"/>
      </rPr>
      <t>"selenium.jar"</t>
    </r>
    <r>
      <rPr>
        <b/>
        <sz val="9.8000000000000007"/>
        <color rgb="FFBCBEC4"/>
        <rFont val="JetBrains Mono"/>
      </rPr>
      <t>)</t>
    </r>
  </si>
  <si>
    <t>Best Practices for Automation Framework Design</t>
  </si>
  <si>
    <t>Avoid Hard-coding 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</si>
</sst>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2">
    <font>
      <sz val="11"/>
      <color theme="1"/>
      <name val="Calibri"/>
      <family val="2"/>
      <scheme val="minor"/>
    </font>
    <font>
      <b/>
      <sz val="11"/>
      <color rgb="FFFA7D00"/>
      <name val="Calibri"/>
      <family val="2"/>
      <scheme val="minor"/>
    </font>
    <font>
      <b/>
      <sz val="11"/>
      <color theme="1"/>
      <name val="Calibri"/>
      <family val="2"/>
      <scheme val="minor"/>
    </font>
    <font>
      <b/>
      <sz val="16"/>
      <name val="Calibri"/>
      <family val="2"/>
      <scheme val="minor"/>
    </font>
    <font>
      <i/>
      <sz val="11"/>
      <color theme="1"/>
      <name val="Calibri"/>
      <family val="2"/>
      <scheme val="minor"/>
    </font>
    <font>
      <b/>
      <sz val="9"/>
      <color rgb="FF273239"/>
      <name val="Arial"/>
      <family val="2"/>
    </font>
    <font>
      <sz val="11"/>
      <color rgb="FFFF0000"/>
      <name val="Calibri"/>
      <family val="2"/>
      <scheme val="minor"/>
    </font>
    <font>
      <sz val="11"/>
      <name val="Calibri"/>
      <family val="2"/>
      <scheme val="minor"/>
    </font>
    <font>
      <b/>
      <i/>
      <sz val="11"/>
      <color theme="1"/>
      <name val="Calibri"/>
      <family val="2"/>
      <scheme val="minor"/>
    </font>
    <font>
      <b/>
      <i/>
      <sz val="11"/>
      <color theme="3" tint="0.39997558519241921"/>
      <name val="Calibri"/>
      <family val="2"/>
      <scheme val="minor"/>
    </font>
    <font>
      <b/>
      <sz val="14"/>
      <name val="Calibri"/>
      <family val="2"/>
      <scheme val="minor"/>
    </font>
    <font>
      <u/>
      <sz val="11"/>
      <color theme="1"/>
      <name val="Calibri"/>
      <family val="2"/>
      <scheme val="minor"/>
    </font>
    <font>
      <b/>
      <i/>
      <u/>
      <sz val="11"/>
      <color theme="1"/>
      <name val="Calibri"/>
      <family val="2"/>
      <scheme val="minor"/>
    </font>
    <font>
      <i/>
      <sz val="11"/>
      <color rgb="FFFF0000"/>
      <name val="Calibri"/>
      <family val="2"/>
      <scheme val="minor"/>
    </font>
    <font>
      <b/>
      <sz val="11"/>
      <color rgb="FFFF0000"/>
      <name val="Calibri"/>
      <family val="2"/>
      <scheme val="minor"/>
    </font>
    <font>
      <i/>
      <u/>
      <sz val="11"/>
      <color theme="1"/>
      <name val="Calibri"/>
      <family val="2"/>
      <scheme val="minor"/>
    </font>
    <font>
      <b/>
      <sz val="14"/>
      <color theme="1"/>
      <name val="Calibri"/>
      <family val="2"/>
      <scheme val="minor"/>
    </font>
    <font>
      <b/>
      <sz val="11"/>
      <color theme="3"/>
      <name val="Calibri"/>
      <family val="2"/>
      <scheme val="minor"/>
    </font>
    <font>
      <sz val="11"/>
      <color theme="3"/>
      <name val="Calibri"/>
      <family val="2"/>
      <scheme val="minor"/>
    </font>
    <font>
      <b/>
      <sz val="11"/>
      <color theme="6"/>
      <name val="Calibri"/>
      <family val="2"/>
      <scheme val="minor"/>
    </font>
    <font>
      <sz val="11"/>
      <color theme="9" tint="-0.249977111117893"/>
      <name val="Calibri"/>
      <family val="2"/>
      <scheme val="minor"/>
    </font>
    <font>
      <b/>
      <sz val="11"/>
      <color theme="8" tint="-0.249977111117893"/>
      <name val="Calibri"/>
      <family val="2"/>
      <scheme val="minor"/>
    </font>
    <font>
      <b/>
      <sz val="11"/>
      <color theme="6" tint="-0.499984740745262"/>
      <name val="Calibri"/>
      <family val="2"/>
      <scheme val="minor"/>
    </font>
    <font>
      <b/>
      <sz val="11"/>
      <color rgb="FFFFC000"/>
      <name val="Calibri"/>
      <family val="2"/>
      <scheme val="minor"/>
    </font>
    <font>
      <sz val="11"/>
      <color rgb="FFFFC000"/>
      <name val="Calibri"/>
      <family val="2"/>
      <scheme val="minor"/>
    </font>
    <font>
      <b/>
      <sz val="11"/>
      <color theme="9" tint="-0.499984740745262"/>
      <name val="Calibri"/>
      <family val="2"/>
      <scheme val="minor"/>
    </font>
    <font>
      <b/>
      <sz val="14"/>
      <color rgb="FF273239"/>
      <name val="Arial"/>
      <family val="2"/>
    </font>
    <font>
      <sz val="12.5"/>
      <color rgb="FF273239"/>
      <name val="Arial"/>
      <family val="2"/>
    </font>
    <font>
      <sz val="11"/>
      <color rgb="FF339966"/>
      <name val="Calibri"/>
      <family val="2"/>
      <scheme val="minor"/>
    </font>
    <font>
      <sz val="11"/>
      <color rgb="FF0070C0"/>
      <name val="Calibri"/>
      <family val="2"/>
      <scheme val="minor"/>
    </font>
    <font>
      <sz val="11"/>
      <color rgb="FF7030A0"/>
      <name val="Calibri"/>
      <family val="2"/>
      <scheme val="minor"/>
    </font>
    <font>
      <b/>
      <sz val="12"/>
      <color theme="1"/>
      <name val="Calibri"/>
      <family val="2"/>
      <scheme val="minor"/>
    </font>
    <font>
      <b/>
      <i/>
      <sz val="11"/>
      <color rgb="FFFF0000"/>
      <name val="Calibri"/>
      <family val="2"/>
      <scheme val="minor"/>
    </font>
    <font>
      <b/>
      <i/>
      <sz val="11"/>
      <color theme="6" tint="-0.249977111117893"/>
      <name val="Calibri"/>
      <family val="2"/>
      <scheme val="minor"/>
    </font>
    <font>
      <b/>
      <sz val="11"/>
      <color theme="9" tint="-0.249977111117893"/>
      <name val="Calibri"/>
      <family val="2"/>
      <scheme val="minor"/>
    </font>
    <font>
      <b/>
      <i/>
      <sz val="11"/>
      <color theme="9" tint="-0.249977111117893"/>
      <name val="Calibri"/>
      <family val="2"/>
      <scheme val="minor"/>
    </font>
    <font>
      <sz val="11"/>
      <color rgb="FF450FDD"/>
      <name val="Calibri"/>
      <family val="2"/>
      <scheme val="minor"/>
    </font>
    <font>
      <u/>
      <sz val="11"/>
      <color theme="10"/>
      <name val="Calibri"/>
      <family val="2"/>
      <scheme val="minor"/>
    </font>
    <font>
      <b/>
      <sz val="11"/>
      <color theme="6" tint="-0.249977111117893"/>
      <name val="Calibri"/>
      <family val="2"/>
      <scheme val="minor"/>
    </font>
    <font>
      <sz val="11"/>
      <color theme="6" tint="-0.249977111117893"/>
      <name val="Calibri"/>
      <family val="2"/>
      <scheme val="minor"/>
    </font>
    <font>
      <b/>
      <u/>
      <sz val="11"/>
      <color theme="10"/>
      <name val="Calibri"/>
      <family val="2"/>
      <scheme val="minor"/>
    </font>
    <font>
      <b/>
      <sz val="11"/>
      <color rgb="FF339966"/>
      <name val="Calibri"/>
      <family val="2"/>
      <scheme val="minor"/>
    </font>
    <font>
      <sz val="12"/>
      <color theme="1"/>
      <name val="Calibri"/>
      <family val="2"/>
      <scheme val="minor"/>
    </font>
    <font>
      <b/>
      <sz val="12"/>
      <color rgb="FFFF0000"/>
      <name val="Calibri"/>
      <family val="2"/>
      <scheme val="minor"/>
    </font>
    <font>
      <b/>
      <sz val="12"/>
      <color theme="9" tint="-0.249977111117893"/>
      <name val="Calibri"/>
      <family val="2"/>
      <scheme val="minor"/>
    </font>
    <font>
      <b/>
      <sz val="12"/>
      <color theme="6" tint="-0.249977111117893"/>
      <name val="Calibri"/>
      <family val="2"/>
      <scheme val="minor"/>
    </font>
    <font>
      <b/>
      <sz val="12"/>
      <color theme="3" tint="-0.249977111117893"/>
      <name val="Calibri"/>
      <family val="2"/>
      <scheme val="minor"/>
    </font>
    <font>
      <b/>
      <sz val="18"/>
      <color theme="1"/>
      <name val="Calibri"/>
      <family val="2"/>
      <scheme val="minor"/>
    </font>
    <font>
      <b/>
      <sz val="9"/>
      <color rgb="FF14142B"/>
      <name val="Segoe UI"/>
      <family val="2"/>
    </font>
    <font>
      <b/>
      <sz val="11"/>
      <color rgb="FF14142B"/>
      <name val="Calibri"/>
      <family val="2"/>
      <scheme val="minor"/>
    </font>
    <font>
      <sz val="11"/>
      <color rgb="FF14142B"/>
      <name val="Calibri"/>
      <family val="2"/>
      <scheme val="minor"/>
    </font>
    <font>
      <b/>
      <sz val="16"/>
      <color theme="1"/>
      <name val="Calibri"/>
      <family val="2"/>
      <scheme val="minor"/>
    </font>
    <font>
      <sz val="20"/>
      <color rgb="FFFF0000"/>
      <name val="Calibri"/>
      <family val="2"/>
      <scheme val="minor"/>
    </font>
    <font>
      <b/>
      <sz val="11"/>
      <color theme="4" tint="-0.249977111117893"/>
      <name val="Calibri"/>
      <family val="2"/>
      <scheme val="minor"/>
    </font>
    <font>
      <b/>
      <sz val="11"/>
      <color theme="4" tint="0.39997558519241921"/>
      <name val="Calibri"/>
      <family val="2"/>
      <scheme val="minor"/>
    </font>
    <font>
      <b/>
      <sz val="11"/>
      <color rgb="FF00B050"/>
      <name val="Calibri"/>
      <family val="2"/>
      <scheme val="minor"/>
    </font>
    <font>
      <b/>
      <sz val="11"/>
      <color rgb="FF339933"/>
      <name val="Calibri"/>
      <family val="2"/>
      <scheme val="minor"/>
    </font>
    <font>
      <sz val="11"/>
      <color rgb="FF339933"/>
      <name val="Calibri"/>
      <family val="2"/>
      <scheme val="minor"/>
    </font>
    <font>
      <sz val="12"/>
      <name val="Calibri"/>
      <family val="2"/>
      <scheme val="minor"/>
    </font>
    <font>
      <b/>
      <sz val="12"/>
      <color rgb="FF339933"/>
      <name val="Calibri"/>
      <family val="2"/>
      <scheme val="minor"/>
    </font>
    <font>
      <b/>
      <sz val="12"/>
      <name val="Calibri"/>
      <family val="2"/>
      <scheme val="minor"/>
    </font>
    <font>
      <b/>
      <sz val="14"/>
      <color theme="3" tint="0.39997558519241921"/>
      <name val="Calibri"/>
      <family val="2"/>
      <scheme val="minor"/>
    </font>
    <font>
      <b/>
      <sz val="14"/>
      <color rgb="FFFF0000"/>
      <name val="Calibri"/>
      <family val="2"/>
      <scheme val="minor"/>
    </font>
    <font>
      <b/>
      <sz val="11"/>
      <color theme="9"/>
      <name val="Calibri"/>
      <family val="2"/>
      <scheme val="minor"/>
    </font>
    <font>
      <b/>
      <sz val="11"/>
      <color rgb="FF450FDD"/>
      <name val="Calibri"/>
      <family val="2"/>
      <scheme val="minor"/>
    </font>
    <font>
      <b/>
      <sz val="11"/>
      <color rgb="FF00B0F0"/>
      <name val="Calibri"/>
      <family val="2"/>
      <scheme val="minor"/>
    </font>
    <font>
      <b/>
      <sz val="11"/>
      <color rgb="FFD395C9"/>
      <name val="Calibri"/>
      <family val="2"/>
      <scheme val="minor"/>
    </font>
    <font>
      <sz val="11"/>
      <color rgb="FF00B0F0"/>
      <name val="Calibri"/>
      <family val="2"/>
      <scheme val="minor"/>
    </font>
    <font>
      <b/>
      <sz val="9.8000000000000007"/>
      <color rgb="FF56A8F5"/>
      <name val="JetBrains Mono"/>
    </font>
    <font>
      <b/>
      <i/>
      <sz val="9.8000000000000007"/>
      <color rgb="FFC77DBB"/>
      <name val="JetBrains Mono"/>
    </font>
    <font>
      <b/>
      <sz val="9.8000000000000007"/>
      <color rgb="FF68A67E"/>
      <name val="JetBrains Mono"/>
    </font>
    <font>
      <b/>
      <sz val="9.8000000000000007"/>
      <color rgb="FF68A67D"/>
      <name val="JetBrains Mono"/>
    </font>
    <font>
      <b/>
      <sz val="11"/>
      <color rgb="FF68A67D"/>
      <name val="Calibri"/>
      <family val="2"/>
      <scheme val="minor"/>
    </font>
    <font>
      <sz val="11"/>
      <color rgb="FF68A67D"/>
      <name val="Calibri"/>
      <family val="2"/>
      <scheme val="minor"/>
    </font>
    <font>
      <b/>
      <i/>
      <sz val="9.8000000000000007"/>
      <color rgb="FFC97BC0"/>
      <name val="JetBrains Mono"/>
    </font>
    <font>
      <b/>
      <sz val="11"/>
      <color rgb="FFC97BC0"/>
      <name val="Calibri"/>
      <family val="2"/>
      <scheme val="minor"/>
    </font>
    <font>
      <sz val="11"/>
      <color rgb="FFC97BC0"/>
      <name val="Calibri"/>
      <family val="2"/>
      <scheme val="minor"/>
    </font>
    <font>
      <b/>
      <sz val="9.8000000000000007"/>
      <color rgb="FF56A2F6"/>
      <name val="JetBrains Mono"/>
    </font>
    <font>
      <b/>
      <sz val="11"/>
      <color rgb="FF56A2F6"/>
      <name val="Calibri"/>
      <family val="2"/>
      <scheme val="minor"/>
    </font>
    <font>
      <b/>
      <sz val="9.8000000000000007"/>
      <color rgb="FFBCBEC4"/>
      <name val="JetBrains Mono"/>
    </font>
    <font>
      <b/>
      <sz val="9.8000000000000007"/>
      <color rgb="FFBABCC6"/>
      <name val="JetBrains Mono"/>
    </font>
    <font>
      <b/>
      <sz val="11"/>
      <color rgb="FFBABCC6"/>
      <name val="Calibri"/>
      <family val="2"/>
      <scheme val="minor"/>
    </font>
    <font>
      <sz val="11"/>
      <color theme="0" tint="-0.499984740745262"/>
      <name val="Calibri"/>
      <family val="2"/>
      <scheme val="minor"/>
    </font>
    <font>
      <b/>
      <sz val="9.8000000000000007"/>
      <color theme="0" tint="-0.499984740745262"/>
      <name val="JetBrains Mono"/>
    </font>
    <font>
      <b/>
      <sz val="11"/>
      <color theme="0" tint="-0.499984740745262"/>
      <name val="Calibri"/>
      <family val="2"/>
      <scheme val="minor"/>
    </font>
    <font>
      <sz val="9.8000000000000007"/>
      <name val="JetBrains Mono"/>
    </font>
    <font>
      <b/>
      <sz val="9.8000000000000007"/>
      <color rgb="FF6AAB73"/>
      <name val="JetBrains Mono"/>
    </font>
    <font>
      <b/>
      <sz val="9.8000000000000007"/>
      <color rgb="FFABADB3"/>
      <name val="JetBrains Mono"/>
    </font>
    <font>
      <b/>
      <sz val="9.8000000000000007"/>
      <color rgb="FFC97BC0"/>
      <name val="JetBrains Mono"/>
    </font>
    <font>
      <b/>
      <sz val="9.8000000000000007"/>
      <color rgb="FFCF8E6D"/>
      <name val="JetBrains Mono"/>
    </font>
    <font>
      <b/>
      <sz val="9.8000000000000007"/>
      <color rgb="FF7A7E85"/>
      <name val="JetBrains Mono"/>
    </font>
    <font>
      <b/>
      <sz val="9.8000000000000007"/>
      <color rgb="FFCE936E"/>
      <name val="JetBrains Mono"/>
    </font>
    <font>
      <b/>
      <i/>
      <sz val="9.8000000000000007"/>
      <color rgb="FFFF0000"/>
      <name val="JetBrains Mono"/>
    </font>
    <font>
      <b/>
      <sz val="9.8000000000000007"/>
      <color rgb="FF6F737A"/>
      <name val="JetBrains Mono"/>
    </font>
    <font>
      <b/>
      <sz val="9.8000000000000007"/>
      <color rgb="FF8888C6"/>
      <name val="JetBrains Mono"/>
    </font>
    <font>
      <b/>
      <sz val="9.8000000000000007"/>
      <color rgb="FF8C87C7"/>
      <name val="JetBrains Mono"/>
    </font>
    <font>
      <b/>
      <sz val="9.8000000000000007"/>
      <color rgb="FFB3AE60"/>
      <name val="JetBrains Mono"/>
    </font>
    <font>
      <b/>
      <sz val="9.8000000000000007"/>
      <color rgb="FFAA4926"/>
      <name val="JetBrains Mono"/>
    </font>
    <font>
      <b/>
      <sz val="11"/>
      <color rgb="FF6AAB73"/>
      <name val="Calibri"/>
      <family val="2"/>
      <scheme val="minor"/>
    </font>
    <font>
      <sz val="11"/>
      <color theme="1"/>
      <name val="Calibri"/>
      <family val="2"/>
      <scheme val="minor"/>
    </font>
    <font>
      <b/>
      <sz val="14"/>
      <color rgb="FF273239"/>
      <name val="Calibri"/>
      <family val="2"/>
      <scheme val="minor"/>
    </font>
    <font>
      <b/>
      <sz val="11"/>
      <color rgb="FF273239"/>
      <name val="Calibri"/>
      <family val="2"/>
      <scheme val="minor"/>
    </font>
    <font>
      <sz val="10"/>
      <color rgb="FF273239"/>
      <name val="Calibri"/>
      <family val="2"/>
      <scheme val="minor"/>
    </font>
    <font>
      <sz val="11"/>
      <color rgb="FF273239"/>
      <name val="Calibri"/>
      <family val="2"/>
      <scheme val="minor"/>
    </font>
    <font>
      <sz val="14"/>
      <color rgb="FF273239"/>
      <name val="Calibri"/>
      <family val="2"/>
      <scheme val="minor"/>
    </font>
    <font>
      <b/>
      <sz val="12"/>
      <color rgb="FF273239"/>
      <name val="Calibri"/>
      <family val="2"/>
      <scheme val="minor"/>
    </font>
    <font>
      <b/>
      <sz val="9.8000000000000007"/>
      <color rgb="FF8888C6"/>
      <name val="Calibri"/>
      <family val="2"/>
      <scheme val="minor"/>
    </font>
    <font>
      <b/>
      <sz val="9.8000000000000007"/>
      <color rgb="FFBCBEC4"/>
      <name val="Calibri"/>
      <family val="2"/>
      <scheme val="minor"/>
    </font>
    <font>
      <b/>
      <sz val="9.8000000000000007"/>
      <color rgb="FF6AAB73"/>
      <name val="Calibri"/>
      <family val="2"/>
      <scheme val="minor"/>
    </font>
    <font>
      <b/>
      <sz val="9.8000000000000007"/>
      <color rgb="FFCF8E6D"/>
      <name val="Calibri"/>
      <family val="2"/>
      <scheme val="minor"/>
    </font>
    <font>
      <b/>
      <sz val="9.8000000000000007"/>
      <name val="JetBrains Mono"/>
    </font>
    <font>
      <b/>
      <sz val="9.8000000000000007"/>
      <color rgb="FF2AACB8"/>
      <name val="JetBrains Mono"/>
    </font>
  </fonts>
  <fills count="6">
    <fill>
      <patternFill patternType="none"/>
    </fill>
    <fill>
      <patternFill patternType="gray125"/>
    </fill>
    <fill>
      <patternFill patternType="solid">
        <fgColor rgb="FFF2F2F2"/>
      </patternFill>
    </fill>
    <fill>
      <patternFill patternType="solid">
        <fgColor theme="9" tint="0.39997558519241921"/>
        <bgColor indexed="64"/>
      </patternFill>
    </fill>
    <fill>
      <patternFill patternType="solid">
        <fgColor rgb="FFFFFFFF"/>
        <bgColor indexed="64"/>
      </patternFill>
    </fill>
    <fill>
      <patternFill patternType="solid">
        <fgColor rgb="FFF9F9F9"/>
        <bgColor indexed="64"/>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rgb="FF7F7F7F"/>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s>
  <cellStyleXfs count="3">
    <xf numFmtId="0" fontId="0" fillId="0" borderId="0"/>
    <xf numFmtId="0" fontId="1" fillId="2" borderId="1" applyNumberFormat="0" applyAlignment="0" applyProtection="0"/>
    <xf numFmtId="0" fontId="37" fillId="0" borderId="0" applyNumberFormat="0" applyFill="0" applyBorder="0" applyAlignment="0" applyProtection="0"/>
  </cellStyleXfs>
  <cellXfs count="263">
    <xf numFmtId="0" fontId="0" fillId="0" borderId="0" xfId="0"/>
    <xf numFmtId="49" fontId="0" fillId="0" borderId="0" xfId="0" applyNumberFormat="1" applyAlignment="1">
      <alignment horizontal="center" vertical="top"/>
    </xf>
    <xf numFmtId="49" fontId="0" fillId="0" borderId="0" xfId="0" applyNumberFormat="1" applyAlignment="1">
      <alignment horizontal="left" vertical="top" wrapText="1"/>
    </xf>
    <xf numFmtId="0" fontId="0" fillId="0" borderId="0" xfId="0" applyAlignment="1">
      <alignment horizontal="center" vertical="top"/>
    </xf>
    <xf numFmtId="0" fontId="3" fillId="2" borderId="2" xfId="1" applyFont="1" applyBorder="1" applyAlignment="1">
      <alignment vertical="top"/>
    </xf>
    <xf numFmtId="0" fontId="3" fillId="2" borderId="3" xfId="1" applyFont="1" applyBorder="1" applyAlignment="1">
      <alignment vertical="top"/>
    </xf>
    <xf numFmtId="0" fontId="3" fillId="2" borderId="4" xfId="1" applyFont="1" applyBorder="1" applyAlignment="1">
      <alignment vertical="top"/>
    </xf>
    <xf numFmtId="49" fontId="0" fillId="0" borderId="0" xfId="0" applyNumberFormat="1" applyAlignment="1">
      <alignment vertical="top" wrapText="1"/>
    </xf>
    <xf numFmtId="49" fontId="2" fillId="0" borderId="5" xfId="0" applyNumberFormat="1" applyFont="1"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vertical="top" wrapText="1"/>
    </xf>
    <xf numFmtId="0" fontId="5" fillId="0" borderId="0" xfId="0" applyFont="1" applyAlignment="1">
      <alignment horizontal="left" vertical="center" wrapText="1" indent="1"/>
    </xf>
    <xf numFmtId="0" fontId="5" fillId="0" borderId="8" xfId="0" applyFont="1" applyBorder="1" applyAlignment="1">
      <alignment horizontal="left" vertical="center" wrapText="1" indent="1"/>
    </xf>
    <xf numFmtId="49" fontId="0" fillId="0" borderId="9" xfId="0" applyNumberFormat="1" applyBorder="1" applyAlignment="1">
      <alignment horizontal="left" vertical="top" wrapText="1"/>
    </xf>
    <xf numFmtId="0" fontId="5" fillId="0" borderId="10" xfId="0" applyFont="1" applyBorder="1" applyAlignment="1">
      <alignment horizontal="left" vertical="center" wrapText="1" indent="1"/>
    </xf>
    <xf numFmtId="49" fontId="0" fillId="0" borderId="11" xfId="0" applyNumberFormat="1" applyBorder="1" applyAlignment="1">
      <alignment horizontal="left" vertical="top" wrapText="1"/>
    </xf>
    <xf numFmtId="0" fontId="5" fillId="0" borderId="12" xfId="0" applyFont="1" applyBorder="1" applyAlignment="1">
      <alignment horizontal="left" vertical="center" wrapText="1" indent="1"/>
    </xf>
    <xf numFmtId="49" fontId="0" fillId="0" borderId="13" xfId="0" applyNumberFormat="1" applyBorder="1" applyAlignment="1">
      <alignment horizontal="left" vertical="top" wrapText="1"/>
    </xf>
    <xf numFmtId="49" fontId="0" fillId="0" borderId="0" xfId="0" applyNumberFormat="1" applyAlignment="1">
      <alignment vertical="center" wrapText="1"/>
    </xf>
    <xf numFmtId="0" fontId="0" fillId="0" borderId="5" xfId="0" applyBorder="1"/>
    <xf numFmtId="0" fontId="0" fillId="0" borderId="0" xfId="0" applyAlignment="1">
      <alignment vertical="top"/>
    </xf>
    <xf numFmtId="0" fontId="0" fillId="0" borderId="5" xfId="0" applyBorder="1" applyAlignment="1">
      <alignment horizontal="center" vertical="top"/>
    </xf>
    <xf numFmtId="0" fontId="0" fillId="0" borderId="15" xfId="0" applyBorder="1" applyAlignment="1">
      <alignment horizontal="center" vertical="top"/>
    </xf>
    <xf numFmtId="49" fontId="0" fillId="0" borderId="15" xfId="0" applyNumberFormat="1" applyBorder="1" applyAlignment="1">
      <alignment vertical="top" wrapText="1"/>
    </xf>
    <xf numFmtId="49" fontId="0" fillId="0" borderId="15" xfId="0" applyNumberFormat="1" applyBorder="1" applyAlignment="1">
      <alignment horizontal="left" vertical="top" wrapText="1"/>
    </xf>
    <xf numFmtId="0" fontId="0" fillId="0" borderId="16" xfId="0" applyBorder="1" applyAlignment="1">
      <alignment horizontal="center" vertical="top"/>
    </xf>
    <xf numFmtId="49" fontId="0" fillId="0" borderId="17" xfId="0" applyNumberFormat="1" applyBorder="1" applyAlignment="1">
      <alignment vertical="top" wrapText="1"/>
    </xf>
    <xf numFmtId="49" fontId="0" fillId="0" borderId="18" xfId="0" applyNumberFormat="1" applyBorder="1" applyAlignment="1">
      <alignment horizontal="left" vertical="top" wrapText="1"/>
    </xf>
    <xf numFmtId="49" fontId="9" fillId="0" borderId="0" xfId="0" applyNumberFormat="1" applyFont="1" applyAlignment="1">
      <alignment horizontal="left" vertical="top" wrapText="1"/>
    </xf>
    <xf numFmtId="49" fontId="0" fillId="0" borderId="0" xfId="0" applyNumberFormat="1" applyAlignment="1">
      <alignment horizontal="center" vertical="center"/>
    </xf>
    <xf numFmtId="0" fontId="3" fillId="2" borderId="0" xfId="1" applyFont="1" applyBorder="1" applyAlignment="1">
      <alignment vertical="top"/>
    </xf>
    <xf numFmtId="0" fontId="10" fillId="2" borderId="0" xfId="1" applyFont="1" applyBorder="1" applyAlignment="1">
      <alignment vertical="top"/>
    </xf>
    <xf numFmtId="0" fontId="0" fillId="0" borderId="0" xfId="0" applyAlignment="1">
      <alignment wrapText="1"/>
    </xf>
    <xf numFmtId="0" fontId="0" fillId="0" borderId="0" xfId="0" quotePrefix="1" applyAlignment="1">
      <alignment wrapText="1"/>
    </xf>
    <xf numFmtId="0" fontId="0" fillId="0" borderId="0" xfId="0" applyAlignment="1">
      <alignment horizontal="center" vertical="center"/>
    </xf>
    <xf numFmtId="0" fontId="0" fillId="0" borderId="5" xfId="0" applyBorder="1" applyAlignment="1">
      <alignment wrapText="1"/>
    </xf>
    <xf numFmtId="49" fontId="0" fillId="0" borderId="19" xfId="0" applyNumberFormat="1" applyBorder="1" applyAlignment="1">
      <alignment horizontal="left" vertical="top" wrapText="1"/>
    </xf>
    <xf numFmtId="49" fontId="0" fillId="0" borderId="20" xfId="0" applyNumberFormat="1" applyBorder="1" applyAlignment="1">
      <alignment horizontal="left" vertical="top" wrapText="1"/>
    </xf>
    <xf numFmtId="49" fontId="0" fillId="0" borderId="21" xfId="0" applyNumberFormat="1" applyBorder="1" applyAlignment="1">
      <alignment horizontal="left" vertical="top" wrapText="1"/>
    </xf>
    <xf numFmtId="0" fontId="0" fillId="0" borderId="19" xfId="0" applyBorder="1" applyAlignment="1">
      <alignment wrapText="1"/>
    </xf>
    <xf numFmtId="0" fontId="0" fillId="0" borderId="20" xfId="0" applyBorder="1"/>
    <xf numFmtId="0" fontId="0" fillId="0" borderId="21" xfId="0" applyBorder="1"/>
    <xf numFmtId="0" fontId="0" fillId="0" borderId="19" xfId="0" applyBorder="1"/>
    <xf numFmtId="0" fontId="0" fillId="0" borderId="20" xfId="0" applyBorder="1" applyAlignment="1">
      <alignment wrapText="1"/>
    </xf>
    <xf numFmtId="0" fontId="0" fillId="0" borderId="0" xfId="0" applyAlignment="1">
      <alignment vertical="center"/>
    </xf>
    <xf numFmtId="0" fontId="0" fillId="0" borderId="0" xfId="0" applyAlignment="1">
      <alignment horizontal="center"/>
    </xf>
    <xf numFmtId="0" fontId="2" fillId="0" borderId="0" xfId="0" applyFont="1"/>
    <xf numFmtId="0" fontId="0" fillId="0" borderId="0" xfId="0" quotePrefix="1"/>
    <xf numFmtId="0" fontId="0" fillId="3" borderId="0" xfId="0" applyFill="1" applyAlignment="1">
      <alignment vertical="top"/>
    </xf>
    <xf numFmtId="0" fontId="0" fillId="3" borderId="0" xfId="0" applyFill="1"/>
    <xf numFmtId="0" fontId="2" fillId="0" borderId="0" xfId="0" applyFont="1" applyAlignment="1">
      <alignment vertical="top"/>
    </xf>
    <xf numFmtId="0" fontId="8" fillId="0" borderId="0" xfId="0" applyFont="1" applyAlignment="1">
      <alignment vertical="top"/>
    </xf>
    <xf numFmtId="0" fontId="4" fillId="0" borderId="0" xfId="0" applyFont="1" applyAlignment="1">
      <alignment vertical="top"/>
    </xf>
    <xf numFmtId="0" fontId="0" fillId="0" borderId="0" xfId="0" applyAlignment="1">
      <alignment vertical="top" wrapText="1"/>
    </xf>
    <xf numFmtId="49" fontId="2" fillId="0" borderId="23" xfId="0" applyNumberFormat="1" applyFont="1" applyBorder="1" applyAlignment="1">
      <alignment horizontal="left" vertical="top" wrapText="1"/>
    </xf>
    <xf numFmtId="49" fontId="2" fillId="0" borderId="26" xfId="0" applyNumberFormat="1" applyFont="1" applyBorder="1" applyAlignment="1">
      <alignment horizontal="left" vertical="top" wrapText="1"/>
    </xf>
    <xf numFmtId="0" fontId="0" fillId="0" borderId="27" xfId="0" applyBorder="1"/>
    <xf numFmtId="0" fontId="0" fillId="0" borderId="29" xfId="0" applyBorder="1" applyAlignment="1">
      <alignment horizontal="center" vertical="center"/>
    </xf>
    <xf numFmtId="0" fontId="0" fillId="0" borderId="30" xfId="0" applyBorder="1"/>
    <xf numFmtId="49" fontId="0" fillId="0" borderId="31" xfId="0" applyNumberFormat="1" applyBorder="1" applyAlignment="1">
      <alignment horizontal="left" vertical="top" wrapText="1"/>
    </xf>
    <xf numFmtId="49" fontId="0" fillId="0" borderId="32" xfId="0" applyNumberFormat="1" applyBorder="1" applyAlignment="1">
      <alignment horizontal="left" vertical="top" wrapText="1"/>
    </xf>
    <xf numFmtId="49" fontId="2" fillId="0" borderId="22" xfId="0" applyNumberFormat="1" applyFont="1" applyBorder="1" applyAlignment="1">
      <alignment horizontal="left" vertical="top" wrapText="1"/>
    </xf>
    <xf numFmtId="49" fontId="2" fillId="0" borderId="25" xfId="0" applyNumberFormat="1" applyFont="1" applyBorder="1" applyAlignment="1">
      <alignment horizontal="left" vertical="top" wrapText="1"/>
    </xf>
    <xf numFmtId="49" fontId="0" fillId="0" borderId="33" xfId="0" applyNumberFormat="1" applyBorder="1" applyAlignment="1">
      <alignment horizontal="left" vertical="top" wrapText="1"/>
    </xf>
    <xf numFmtId="0" fontId="0" fillId="0" borderId="29" xfId="0" applyBorder="1"/>
    <xf numFmtId="49" fontId="0" fillId="0" borderId="34" xfId="0" applyNumberFormat="1" applyBorder="1" applyAlignment="1">
      <alignment horizontal="left" vertical="top" wrapText="1"/>
    </xf>
    <xf numFmtId="0" fontId="2" fillId="0" borderId="35" xfId="0" applyFont="1" applyBorder="1"/>
    <xf numFmtId="0" fontId="0" fillId="0" borderId="14" xfId="0" applyBorder="1" applyAlignment="1">
      <alignment vertical="top"/>
    </xf>
    <xf numFmtId="49" fontId="2" fillId="0" borderId="0" xfId="0" applyNumberFormat="1" applyFont="1" applyAlignment="1">
      <alignment horizontal="left" vertical="top" wrapText="1"/>
    </xf>
    <xf numFmtId="49" fontId="2" fillId="0" borderId="0" xfId="0" applyNumberFormat="1" applyFont="1" applyAlignment="1">
      <alignment vertical="center" wrapText="1"/>
    </xf>
    <xf numFmtId="49" fontId="2" fillId="0" borderId="0" xfId="0" applyNumberFormat="1" applyFont="1" applyAlignment="1">
      <alignment vertical="top" wrapText="1"/>
    </xf>
    <xf numFmtId="49" fontId="2" fillId="0" borderId="0" xfId="0" applyNumberFormat="1" applyFont="1" applyAlignment="1">
      <alignment horizontal="left" vertical="center" wrapText="1"/>
    </xf>
    <xf numFmtId="49" fontId="16" fillId="0" borderId="0" xfId="0" applyNumberFormat="1" applyFont="1" applyAlignment="1">
      <alignment horizontal="left" vertical="top" wrapText="1"/>
    </xf>
    <xf numFmtId="0" fontId="16" fillId="0" borderId="0" xfId="0" applyFont="1"/>
    <xf numFmtId="0" fontId="27" fillId="4" borderId="8" xfId="0" applyFont="1" applyFill="1" applyBorder="1" applyAlignment="1">
      <alignment horizontal="justify" vertical="center" wrapText="1"/>
    </xf>
    <xf numFmtId="0" fontId="27" fillId="4" borderId="9" xfId="0" applyFont="1" applyFill="1" applyBorder="1" applyAlignment="1">
      <alignment horizontal="justify" vertical="center" wrapText="1"/>
    </xf>
    <xf numFmtId="0" fontId="27" fillId="4" borderId="10" xfId="0" applyFont="1" applyFill="1" applyBorder="1" applyAlignment="1">
      <alignment horizontal="justify" vertical="center" wrapText="1"/>
    </xf>
    <xf numFmtId="0" fontId="27" fillId="4" borderId="11" xfId="0" applyFont="1" applyFill="1" applyBorder="1" applyAlignment="1">
      <alignment horizontal="justify" vertical="center" wrapText="1"/>
    </xf>
    <xf numFmtId="0" fontId="27" fillId="4" borderId="36" xfId="0" applyFont="1" applyFill="1" applyBorder="1" applyAlignment="1">
      <alignment horizontal="justify" vertical="center" wrapText="1"/>
    </xf>
    <xf numFmtId="0" fontId="27" fillId="4" borderId="37" xfId="0" applyFont="1" applyFill="1" applyBorder="1" applyAlignment="1">
      <alignment horizontal="justify" vertical="center" wrapText="1"/>
    </xf>
    <xf numFmtId="0" fontId="26" fillId="4" borderId="16" xfId="0" applyFont="1" applyFill="1" applyBorder="1" applyAlignment="1">
      <alignment horizontal="center" vertical="center" wrapText="1"/>
    </xf>
    <xf numFmtId="0" fontId="26" fillId="4" borderId="18" xfId="0" applyFont="1" applyFill="1" applyBorder="1" applyAlignment="1">
      <alignment horizontal="center" vertical="center" wrapText="1"/>
    </xf>
    <xf numFmtId="49" fontId="6" fillId="0" borderId="0" xfId="0" applyNumberFormat="1" applyFont="1" applyAlignment="1">
      <alignment horizontal="left" vertical="top" wrapText="1"/>
    </xf>
    <xf numFmtId="49" fontId="31" fillId="0" borderId="0" xfId="0" applyNumberFormat="1" applyFont="1" applyAlignment="1">
      <alignment horizontal="left" vertical="top" wrapText="1"/>
    </xf>
    <xf numFmtId="49" fontId="0" fillId="0" borderId="33" xfId="0" applyNumberFormat="1" applyBorder="1" applyAlignment="1">
      <alignment horizontal="left" vertical="center" wrapText="1"/>
    </xf>
    <xf numFmtId="0" fontId="0" fillId="0" borderId="29" xfId="0" applyBorder="1" applyAlignment="1">
      <alignment horizontal="left" vertical="center"/>
    </xf>
    <xf numFmtId="49" fontId="2" fillId="0" borderId="24" xfId="0" applyNumberFormat="1" applyFont="1" applyBorder="1" applyAlignment="1">
      <alignment horizontal="left" vertical="top" wrapText="1"/>
    </xf>
    <xf numFmtId="49" fontId="0" fillId="0" borderId="38" xfId="0" applyNumberFormat="1" applyBorder="1" applyAlignment="1">
      <alignment horizontal="left" vertical="top" wrapText="1"/>
    </xf>
    <xf numFmtId="0" fontId="0" fillId="0" borderId="28" xfId="0" applyBorder="1"/>
    <xf numFmtId="0" fontId="2" fillId="0" borderId="28" xfId="0" applyFont="1" applyBorder="1" applyAlignment="1">
      <alignment wrapText="1"/>
    </xf>
    <xf numFmtId="0" fontId="0" fillId="0" borderId="28" xfId="0" applyBorder="1" applyAlignment="1">
      <alignment wrapText="1"/>
    </xf>
    <xf numFmtId="0" fontId="0" fillId="0" borderId="28" xfId="0" applyBorder="1" applyAlignment="1">
      <alignment horizontal="left" vertical="top" wrapText="1"/>
    </xf>
    <xf numFmtId="0" fontId="2" fillId="0" borderId="28" xfId="0" applyFont="1" applyBorder="1" applyAlignment="1">
      <alignment horizontal="left" vertical="top" wrapText="1"/>
    </xf>
    <xf numFmtId="0" fontId="16" fillId="0" borderId="0" xfId="0" applyFont="1" applyAlignment="1">
      <alignment horizontal="center" vertical="center"/>
    </xf>
    <xf numFmtId="49" fontId="0" fillId="0" borderId="0" xfId="0" applyNumberFormat="1" applyAlignment="1">
      <alignment horizontal="center" vertical="center" wrapText="1"/>
    </xf>
    <xf numFmtId="49" fontId="2" fillId="0" borderId="25" xfId="0" applyNumberFormat="1" applyFont="1" applyBorder="1" applyAlignment="1">
      <alignment horizontal="center" vertical="center" wrapText="1"/>
    </xf>
    <xf numFmtId="49" fontId="0" fillId="0" borderId="0" xfId="0" applyNumberFormat="1" applyAlignment="1">
      <alignment horizontal="left" vertical="center" wrapText="1"/>
    </xf>
    <xf numFmtId="0" fontId="3" fillId="2" borderId="3" xfId="1" applyFont="1" applyBorder="1" applyAlignment="1">
      <alignment vertical="top" wrapText="1"/>
    </xf>
    <xf numFmtId="0" fontId="37" fillId="0" borderId="0" xfId="2"/>
    <xf numFmtId="0" fontId="3" fillId="2" borderId="3" xfId="1" applyFont="1" applyBorder="1" applyAlignment="1">
      <alignment horizontal="left" vertical="center"/>
    </xf>
    <xf numFmtId="49" fontId="16" fillId="0" borderId="0" xfId="0" applyNumberFormat="1" applyFont="1" applyAlignment="1">
      <alignment horizontal="left" vertical="center" wrapText="1"/>
    </xf>
    <xf numFmtId="0" fontId="37" fillId="0" borderId="0" xfId="2" applyAlignment="1">
      <alignment horizontal="left" vertical="center"/>
    </xf>
    <xf numFmtId="49" fontId="14" fillId="0" borderId="0" xfId="0" applyNumberFormat="1" applyFont="1" applyAlignment="1">
      <alignment horizontal="left" vertical="top" wrapText="1"/>
    </xf>
    <xf numFmtId="49" fontId="37" fillId="0" borderId="0" xfId="2" applyNumberFormat="1" applyAlignment="1">
      <alignment horizontal="left" vertical="center" wrapText="1"/>
    </xf>
    <xf numFmtId="49" fontId="37" fillId="0" borderId="0" xfId="2" applyNumberFormat="1" applyAlignment="1">
      <alignment horizontal="left" vertical="top" wrapText="1"/>
    </xf>
    <xf numFmtId="0" fontId="14" fillId="0" borderId="0" xfId="0" applyFont="1" applyAlignment="1">
      <alignment wrapText="1"/>
    </xf>
    <xf numFmtId="0" fontId="21" fillId="0" borderId="0" xfId="0" applyFont="1"/>
    <xf numFmtId="0" fontId="31" fillId="0" borderId="0" xfId="0" applyFont="1"/>
    <xf numFmtId="0" fontId="34" fillId="0" borderId="0" xfId="0" applyFont="1" applyAlignment="1">
      <alignment wrapText="1"/>
    </xf>
    <xf numFmtId="0" fontId="42" fillId="0" borderId="33" xfId="0" applyFont="1" applyBorder="1" applyAlignment="1">
      <alignment vertical="center" wrapText="1"/>
    </xf>
    <xf numFmtId="0" fontId="42" fillId="0" borderId="29" xfId="0" applyFont="1" applyBorder="1" applyAlignment="1">
      <alignment vertical="center" wrapText="1"/>
    </xf>
    <xf numFmtId="0" fontId="42" fillId="0" borderId="31" xfId="0" applyFont="1" applyBorder="1" applyAlignment="1">
      <alignment vertical="center" wrapText="1"/>
    </xf>
    <xf numFmtId="0" fontId="43" fillId="0" borderId="27" xfId="0" applyFont="1" applyBorder="1" applyAlignment="1">
      <alignment vertical="center" wrapText="1"/>
    </xf>
    <xf numFmtId="0" fontId="42" fillId="0" borderId="27" xfId="0" applyFont="1" applyBorder="1" applyAlignment="1">
      <alignment vertical="center" wrapText="1"/>
    </xf>
    <xf numFmtId="0" fontId="42" fillId="0" borderId="32" xfId="0" applyFont="1" applyBorder="1" applyAlignment="1">
      <alignment vertical="center" wrapText="1"/>
    </xf>
    <xf numFmtId="0" fontId="42" fillId="0" borderId="30" xfId="0" applyFont="1" applyBorder="1" applyAlignment="1">
      <alignment vertical="center" wrapText="1"/>
    </xf>
    <xf numFmtId="0" fontId="44" fillId="0" borderId="31" xfId="0" applyFont="1" applyBorder="1" applyAlignment="1">
      <alignment vertical="center" wrapText="1"/>
    </xf>
    <xf numFmtId="0" fontId="44" fillId="0" borderId="27" xfId="0" applyFont="1" applyBorder="1" applyAlignment="1">
      <alignment vertical="center" wrapText="1"/>
    </xf>
    <xf numFmtId="0" fontId="43" fillId="0" borderId="31" xfId="0" applyFont="1" applyBorder="1" applyAlignment="1">
      <alignment vertical="center" wrapText="1"/>
    </xf>
    <xf numFmtId="0" fontId="0" fillId="0" borderId="0" xfId="0" applyAlignment="1">
      <alignment horizontal="right"/>
    </xf>
    <xf numFmtId="0" fontId="0" fillId="0" borderId="0" xfId="0" applyAlignment="1">
      <alignment horizontal="left"/>
    </xf>
    <xf numFmtId="49" fontId="47" fillId="0" borderId="0" xfId="0" applyNumberFormat="1" applyFont="1" applyAlignment="1">
      <alignment horizontal="left" vertical="top" wrapText="1"/>
    </xf>
    <xf numFmtId="0" fontId="48" fillId="0" borderId="0" xfId="0" applyFont="1"/>
    <xf numFmtId="49" fontId="31" fillId="0" borderId="0" xfId="0" applyNumberFormat="1" applyFont="1" applyAlignment="1">
      <alignment vertical="top" wrapText="1"/>
    </xf>
    <xf numFmtId="49" fontId="0" fillId="0" borderId="0" xfId="0" applyNumberFormat="1" applyAlignment="1">
      <alignment vertical="top"/>
    </xf>
    <xf numFmtId="49" fontId="47" fillId="0" borderId="0" xfId="0" applyNumberFormat="1" applyFont="1" applyAlignment="1">
      <alignment vertical="top"/>
    </xf>
    <xf numFmtId="0" fontId="47" fillId="0" borderId="0" xfId="0" applyFont="1"/>
    <xf numFmtId="0" fontId="49" fillId="0" borderId="0" xfId="0" applyFont="1" applyAlignment="1">
      <alignment horizontal="left" vertical="center" wrapText="1"/>
    </xf>
    <xf numFmtId="0" fontId="51" fillId="0" borderId="0" xfId="0" applyFont="1"/>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26" xfId="0" applyFont="1" applyBorder="1" applyAlignment="1">
      <alignment horizontal="center" vertical="center"/>
    </xf>
    <xf numFmtId="0" fontId="51" fillId="0" borderId="34" xfId="0" applyFont="1" applyBorder="1" applyAlignment="1">
      <alignment horizontal="center" vertical="center"/>
    </xf>
    <xf numFmtId="0" fontId="51" fillId="0" borderId="22" xfId="0" applyFont="1" applyBorder="1" applyAlignment="1">
      <alignment horizontal="center" wrapText="1"/>
    </xf>
    <xf numFmtId="0" fontId="51" fillId="0" borderId="35" xfId="0" applyFont="1" applyBorder="1" applyAlignment="1">
      <alignment horizontal="center" wrapText="1"/>
    </xf>
    <xf numFmtId="49" fontId="0" fillId="0" borderId="44" xfId="0" applyNumberFormat="1" applyBorder="1" applyAlignment="1">
      <alignment horizontal="left" vertical="top" wrapText="1"/>
    </xf>
    <xf numFmtId="49" fontId="0" fillId="0" borderId="27" xfId="0" applyNumberFormat="1" applyBorder="1" applyAlignment="1">
      <alignment horizontal="left" vertical="top" wrapText="1"/>
    </xf>
    <xf numFmtId="49" fontId="0" fillId="0" borderId="30" xfId="0" applyNumberFormat="1" applyBorder="1" applyAlignment="1">
      <alignment horizontal="left" vertical="top" wrapText="1"/>
    </xf>
    <xf numFmtId="49" fontId="0" fillId="0" borderId="29" xfId="0" applyNumberFormat="1" applyBorder="1" applyAlignment="1">
      <alignment horizontal="left" vertical="top" wrapText="1"/>
    </xf>
    <xf numFmtId="49" fontId="0" fillId="0" borderId="28" xfId="0" applyNumberFormat="1" applyBorder="1" applyAlignment="1">
      <alignment horizontal="left" vertical="top" wrapText="1"/>
    </xf>
    <xf numFmtId="0" fontId="43" fillId="0" borderId="0" xfId="0" applyFont="1"/>
    <xf numFmtId="0" fontId="0" fillId="0" borderId="41" xfId="0" applyBorder="1"/>
    <xf numFmtId="0" fontId="0" fillId="0" borderId="42" xfId="0" applyBorder="1"/>
    <xf numFmtId="0" fontId="0" fillId="0" borderId="47" xfId="0" applyBorder="1"/>
    <xf numFmtId="0" fontId="0" fillId="0" borderId="43" xfId="0" applyBorder="1"/>
    <xf numFmtId="0" fontId="0" fillId="0" borderId="15" xfId="0" applyBorder="1"/>
    <xf numFmtId="0" fontId="0" fillId="0" borderId="0" xfId="0" applyAlignment="1">
      <alignment horizontal="left" vertical="center"/>
    </xf>
    <xf numFmtId="0" fontId="0" fillId="0" borderId="5" xfId="0" applyBorder="1" applyAlignment="1">
      <alignment horizontal="center"/>
    </xf>
    <xf numFmtId="0" fontId="0" fillId="0" borderId="8" xfId="0" applyBorder="1"/>
    <xf numFmtId="0" fontId="0" fillId="0" borderId="9" xfId="0" applyBorder="1" applyAlignment="1">
      <alignment horizontal="center"/>
    </xf>
    <xf numFmtId="0" fontId="0" fillId="0" borderId="9" xfId="0" applyBorder="1"/>
    <xf numFmtId="0" fontId="0" fillId="0" borderId="36" xfId="0" applyBorder="1"/>
    <xf numFmtId="0" fontId="0" fillId="0" borderId="10" xfId="0" applyBorder="1"/>
    <xf numFmtId="0" fontId="0" fillId="0" borderId="48" xfId="0" applyBorder="1"/>
    <xf numFmtId="0" fontId="14" fillId="0" borderId="0" xfId="0" applyFont="1"/>
    <xf numFmtId="0" fontId="60" fillId="0" borderId="0" xfId="0" applyFont="1" applyAlignment="1">
      <alignment vertical="center" wrapText="1"/>
    </xf>
    <xf numFmtId="49" fontId="20" fillId="0" borderId="0" xfId="0" applyNumberFormat="1" applyFont="1" applyAlignment="1">
      <alignment horizontal="left" vertical="top" wrapText="1"/>
    </xf>
    <xf numFmtId="0" fontId="3" fillId="2" borderId="14" xfId="1" applyFont="1" applyBorder="1" applyAlignment="1">
      <alignment vertical="top"/>
    </xf>
    <xf numFmtId="0" fontId="3" fillId="2" borderId="14" xfId="1" applyFont="1" applyBorder="1" applyAlignment="1">
      <alignment vertical="top" wrapText="1"/>
    </xf>
    <xf numFmtId="0" fontId="0" fillId="0" borderId="0" xfId="0" applyAlignment="1">
      <alignment horizontal="left" wrapText="1"/>
    </xf>
    <xf numFmtId="0" fontId="10" fillId="2" borderId="3" xfId="1" applyFont="1" applyBorder="1" applyAlignment="1">
      <alignment vertical="top"/>
    </xf>
    <xf numFmtId="0" fontId="68" fillId="0" borderId="0" xfId="0" applyFont="1" applyAlignment="1">
      <alignment vertical="center"/>
    </xf>
    <xf numFmtId="0" fontId="2" fillId="0" borderId="0" xfId="0" applyFont="1" applyAlignment="1">
      <alignment wrapText="1"/>
    </xf>
    <xf numFmtId="0" fontId="79" fillId="0" borderId="0" xfId="0" applyFont="1" applyAlignment="1">
      <alignment vertical="center"/>
    </xf>
    <xf numFmtId="0" fontId="68" fillId="0" borderId="0" xfId="0" applyFont="1" applyAlignment="1">
      <alignment vertical="center" wrapText="1"/>
    </xf>
    <xf numFmtId="0" fontId="79" fillId="0" borderId="0" xfId="0" applyFont="1" applyAlignment="1">
      <alignment vertical="center" wrapText="1"/>
    </xf>
    <xf numFmtId="0" fontId="86" fillId="0" borderId="0" xfId="0" applyFont="1" applyAlignment="1">
      <alignment vertical="center"/>
    </xf>
    <xf numFmtId="0" fontId="87" fillId="0" borderId="0" xfId="0" applyFont="1" applyAlignment="1">
      <alignment vertical="center"/>
    </xf>
    <xf numFmtId="0" fontId="86" fillId="0" borderId="0" xfId="0" applyFont="1" applyAlignment="1">
      <alignment vertical="center" wrapText="1"/>
    </xf>
    <xf numFmtId="0" fontId="89" fillId="0" borderId="0" xfId="0" applyFont="1" applyAlignment="1">
      <alignment vertical="center"/>
    </xf>
    <xf numFmtId="0" fontId="69" fillId="0" borderId="0" xfId="0" applyFont="1" applyAlignment="1">
      <alignment vertical="center"/>
    </xf>
    <xf numFmtId="0" fontId="70" fillId="0" borderId="0" xfId="0" applyFont="1" applyAlignment="1">
      <alignment vertical="center"/>
    </xf>
    <xf numFmtId="0" fontId="90" fillId="0" borderId="0" xfId="0" applyFont="1" applyAlignment="1">
      <alignment vertical="center"/>
    </xf>
    <xf numFmtId="0" fontId="92" fillId="0" borderId="0" xfId="0" applyFont="1" applyAlignment="1">
      <alignment vertical="center"/>
    </xf>
    <xf numFmtId="0" fontId="3" fillId="2" borderId="3" xfId="1"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left" wrapText="1"/>
    </xf>
    <xf numFmtId="0" fontId="0" fillId="0" borderId="0" xfId="0" applyAlignment="1">
      <alignment vertical="center" wrapText="1"/>
    </xf>
    <xf numFmtId="0" fontId="2" fillId="0" borderId="0" xfId="0" applyFont="1" applyAlignment="1">
      <alignment horizontal="left" vertical="center"/>
    </xf>
    <xf numFmtId="0" fontId="89" fillId="0" borderId="0" xfId="0" applyFont="1" applyAlignment="1">
      <alignment vertical="center" wrapText="1"/>
    </xf>
    <xf numFmtId="0" fontId="96" fillId="0" borderId="0" xfId="0" applyFont="1" applyAlignment="1">
      <alignment vertical="center"/>
    </xf>
    <xf numFmtId="0" fontId="100" fillId="5" borderId="0" xfId="0" applyFont="1" applyFill="1" applyAlignment="1">
      <alignment horizontal="center" vertical="center" wrapText="1"/>
    </xf>
    <xf numFmtId="0" fontId="101" fillId="5" borderId="0" xfId="0" applyFont="1" applyFill="1" applyAlignment="1">
      <alignment horizontal="center" vertical="center" wrapText="1"/>
    </xf>
    <xf numFmtId="0" fontId="101" fillId="4" borderId="0" xfId="0" applyFont="1" applyFill="1" applyAlignment="1">
      <alignment horizontal="center" vertical="center" wrapText="1"/>
    </xf>
    <xf numFmtId="0" fontId="103" fillId="4" borderId="0" xfId="0" applyFont="1" applyFill="1" applyAlignment="1">
      <alignment horizontal="center" vertical="center" wrapText="1"/>
    </xf>
    <xf numFmtId="0" fontId="103" fillId="0" borderId="0" xfId="0" applyFont="1" applyAlignment="1">
      <alignment horizontal="left" vertical="center" wrapText="1"/>
    </xf>
    <xf numFmtId="0" fontId="101" fillId="0" borderId="0" xfId="0" applyFont="1" applyAlignment="1">
      <alignment horizontal="left" vertical="center" wrapText="1" indent="1"/>
    </xf>
    <xf numFmtId="0" fontId="104" fillId="0" borderId="0" xfId="0" applyFont="1" applyAlignment="1">
      <alignment horizontal="left" vertical="center" wrapText="1"/>
    </xf>
    <xf numFmtId="0" fontId="105" fillId="5" borderId="0" xfId="0" applyFont="1" applyFill="1" applyAlignment="1">
      <alignment horizontal="center" vertical="center" wrapText="1"/>
    </xf>
    <xf numFmtId="0" fontId="103" fillId="4" borderId="9" xfId="0" applyFont="1" applyFill="1" applyBorder="1" applyAlignment="1">
      <alignment horizontal="center" vertical="center" wrapText="1"/>
    </xf>
    <xf numFmtId="0" fontId="103" fillId="4" borderId="37" xfId="0" applyFont="1" applyFill="1" applyBorder="1" applyAlignment="1">
      <alignment horizontal="center" vertical="center" wrapText="1"/>
    </xf>
    <xf numFmtId="0" fontId="100" fillId="5" borderId="18" xfId="0" applyFont="1" applyFill="1" applyBorder="1" applyAlignment="1">
      <alignment horizontal="center" vertical="center" wrapText="1"/>
    </xf>
    <xf numFmtId="0" fontId="100" fillId="5" borderId="49" xfId="0" applyFont="1" applyFill="1" applyBorder="1" applyAlignment="1">
      <alignment horizontal="center" vertical="center" wrapText="1"/>
    </xf>
    <xf numFmtId="0" fontId="103" fillId="4" borderId="50" xfId="0" applyFont="1" applyFill="1" applyBorder="1" applyAlignment="1">
      <alignment horizontal="center" vertical="center" wrapText="1"/>
    </xf>
    <xf numFmtId="0" fontId="103" fillId="4" borderId="51" xfId="0" applyFont="1" applyFill="1" applyBorder="1" applyAlignment="1">
      <alignment horizontal="center" vertical="center" wrapText="1"/>
    </xf>
    <xf numFmtId="0" fontId="100" fillId="5" borderId="22" xfId="0" applyFont="1" applyFill="1" applyBorder="1" applyAlignment="1">
      <alignment horizontal="center" vertical="center" wrapText="1"/>
    </xf>
    <xf numFmtId="0" fontId="105" fillId="5" borderId="33" xfId="0" applyFont="1" applyFill="1" applyBorder="1" applyAlignment="1">
      <alignment horizontal="center" vertical="center" wrapText="1"/>
    </xf>
    <xf numFmtId="0" fontId="105" fillId="5" borderId="31" xfId="0" applyFont="1" applyFill="1" applyBorder="1" applyAlignment="1">
      <alignment horizontal="center" vertical="center" wrapText="1"/>
    </xf>
    <xf numFmtId="0" fontId="103" fillId="0" borderId="0" xfId="0" applyFont="1"/>
    <xf numFmtId="0" fontId="99" fillId="0" borderId="0" xfId="0" applyFont="1"/>
    <xf numFmtId="0" fontId="99" fillId="0" borderId="0" xfId="0" applyFont="1" applyAlignment="1">
      <alignment horizontal="center" vertical="top"/>
    </xf>
    <xf numFmtId="49" fontId="99" fillId="0" borderId="0" xfId="0" applyNumberFormat="1" applyFont="1" applyAlignment="1">
      <alignment horizontal="left" vertical="top" wrapText="1"/>
    </xf>
    <xf numFmtId="0" fontId="99" fillId="0" borderId="0" xfId="0" quotePrefix="1" applyFont="1"/>
    <xf numFmtId="0" fontId="99" fillId="0" borderId="0" xfId="0" applyFont="1" applyAlignment="1">
      <alignment wrapText="1"/>
    </xf>
    <xf numFmtId="0" fontId="99" fillId="0" borderId="32" xfId="0" applyFont="1" applyBorder="1"/>
    <xf numFmtId="0" fontId="99" fillId="0" borderId="52" xfId="0" applyFont="1" applyBorder="1"/>
    <xf numFmtId="0" fontId="99" fillId="0" borderId="11" xfId="0" applyFont="1" applyBorder="1"/>
    <xf numFmtId="0" fontId="106" fillId="0" borderId="0" xfId="0" applyFont="1" applyAlignment="1">
      <alignment vertical="center"/>
    </xf>
    <xf numFmtId="0" fontId="100" fillId="5" borderId="53" xfId="0" applyFont="1" applyFill="1" applyBorder="1" applyAlignment="1">
      <alignment horizontal="center" vertical="center" wrapText="1"/>
    </xf>
    <xf numFmtId="0" fontId="100" fillId="5" borderId="35" xfId="0" applyFont="1" applyFill="1" applyBorder="1" applyAlignment="1">
      <alignment horizontal="center" vertical="center" wrapText="1"/>
    </xf>
    <xf numFmtId="0" fontId="101" fillId="5" borderId="33" xfId="0" applyFont="1" applyFill="1" applyBorder="1" applyAlignment="1">
      <alignment horizontal="center" vertical="center" wrapText="1"/>
    </xf>
    <xf numFmtId="0" fontId="102" fillId="4" borderId="50" xfId="0" applyFont="1" applyFill="1" applyBorder="1" applyAlignment="1">
      <alignment horizontal="center" vertical="center" wrapText="1"/>
    </xf>
    <xf numFmtId="0" fontId="102" fillId="4" borderId="37" xfId="0" applyFont="1" applyFill="1" applyBorder="1" applyAlignment="1">
      <alignment horizontal="center" vertical="center" wrapText="1"/>
    </xf>
    <xf numFmtId="0" fontId="101" fillId="5" borderId="31" xfId="0" applyFont="1" applyFill="1" applyBorder="1" applyAlignment="1">
      <alignment horizontal="center" vertical="center" wrapText="1"/>
    </xf>
    <xf numFmtId="0" fontId="102" fillId="4" borderId="51" xfId="0" applyFont="1" applyFill="1" applyBorder="1" applyAlignment="1">
      <alignment horizontal="center" vertical="center" wrapText="1"/>
    </xf>
    <xf numFmtId="0" fontId="102" fillId="4" borderId="9" xfId="0" applyFont="1" applyFill="1" applyBorder="1" applyAlignment="1">
      <alignment horizontal="center" vertical="center" wrapText="1"/>
    </xf>
    <xf numFmtId="0" fontId="101" fillId="5" borderId="32" xfId="0" applyFont="1" applyFill="1" applyBorder="1" applyAlignment="1">
      <alignment horizontal="center" vertical="center" wrapText="1"/>
    </xf>
    <xf numFmtId="0" fontId="102" fillId="4" borderId="52" xfId="0" applyFont="1" applyFill="1" applyBorder="1" applyAlignment="1">
      <alignment horizontal="center" vertical="center" wrapText="1"/>
    </xf>
    <xf numFmtId="0" fontId="102" fillId="4" borderId="11" xfId="0" applyFont="1" applyFill="1" applyBorder="1" applyAlignment="1">
      <alignment horizontal="center" vertical="center" wrapText="1"/>
    </xf>
    <xf numFmtId="0" fontId="101" fillId="5" borderId="0" xfId="0" applyFont="1" applyFill="1" applyAlignment="1">
      <alignment horizontal="left" vertical="center" wrapText="1"/>
    </xf>
    <xf numFmtId="0" fontId="103" fillId="5" borderId="0" xfId="0" applyFont="1" applyFill="1" applyAlignment="1">
      <alignment horizontal="left" vertical="center" wrapText="1"/>
    </xf>
    <xf numFmtId="0" fontId="99" fillId="0" borderId="0" xfId="0" applyFont="1" applyAlignment="1">
      <alignment vertical="center"/>
    </xf>
    <xf numFmtId="0" fontId="83" fillId="0" borderId="0" xfId="0" applyFont="1" applyAlignment="1">
      <alignment vertical="center"/>
    </xf>
    <xf numFmtId="0" fontId="0" fillId="0" borderId="0" xfId="0" applyAlignment="1">
      <alignment horizontal="left" vertical="center"/>
    </xf>
    <xf numFmtId="49" fontId="0" fillId="0" borderId="0" xfId="0" applyNumberFormat="1" applyAlignment="1">
      <alignment horizontal="left" vertical="center" wrapText="1"/>
    </xf>
    <xf numFmtId="0" fontId="2" fillId="0" borderId="0" xfId="0" applyFont="1" applyAlignment="1">
      <alignment horizontal="left" vertical="center"/>
    </xf>
    <xf numFmtId="49" fontId="2" fillId="0" borderId="5" xfId="0" applyNumberFormat="1" applyFont="1" applyBorder="1" applyAlignment="1">
      <alignment horizontal="center" vertical="top" wrapText="1"/>
    </xf>
    <xf numFmtId="0" fontId="0" fillId="0" borderId="0" xfId="0" applyAlignment="1">
      <alignment horizontal="center" wrapText="1"/>
    </xf>
    <xf numFmtId="49" fontId="0" fillId="0" borderId="0" xfId="0" applyNumberFormat="1" applyAlignment="1">
      <alignment horizontal="left" vertical="top" wrapText="1"/>
    </xf>
    <xf numFmtId="0" fontId="99" fillId="0" borderId="0" xfId="0" applyFont="1" applyAlignment="1">
      <alignment horizontal="left" vertical="center"/>
    </xf>
    <xf numFmtId="0" fontId="101" fillId="5" borderId="0" xfId="0" applyFont="1" applyFill="1" applyAlignment="1">
      <alignment horizontal="left" vertical="center" wrapText="1"/>
    </xf>
    <xf numFmtId="0" fontId="3" fillId="2" borderId="3" xfId="1" applyFont="1" applyBorder="1" applyAlignment="1">
      <alignment horizontal="center" vertical="top"/>
    </xf>
    <xf numFmtId="0" fontId="0" fillId="0" borderId="0" xfId="0" applyAlignment="1">
      <alignment horizontal="left" vertical="center" wrapText="1"/>
    </xf>
    <xf numFmtId="0" fontId="0" fillId="0" borderId="14" xfId="0" applyBorder="1" applyAlignment="1">
      <alignment horizontal="left" wrapText="1"/>
    </xf>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horizontal="center" vertical="center"/>
    </xf>
    <xf numFmtId="49" fontId="2" fillId="0" borderId="24" xfId="0" applyNumberFormat="1" applyFont="1" applyBorder="1" applyAlignment="1">
      <alignment horizontal="center" vertical="center" wrapText="1"/>
    </xf>
    <xf numFmtId="49" fontId="2" fillId="0" borderId="25" xfId="0" applyNumberFormat="1"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49" fontId="0" fillId="0" borderId="14" xfId="0" applyNumberFormat="1" applyBorder="1" applyAlignment="1">
      <alignment horizontal="center" vertical="center" wrapText="1"/>
    </xf>
    <xf numFmtId="49" fontId="0" fillId="0" borderId="0" xfId="0" applyNumberFormat="1" applyAlignment="1">
      <alignment horizontal="center" vertical="center" wrapText="1"/>
    </xf>
    <xf numFmtId="0" fontId="0" fillId="0" borderId="14" xfId="0" applyBorder="1" applyAlignment="1">
      <alignment horizontal="center" vertical="center"/>
    </xf>
    <xf numFmtId="49" fontId="0" fillId="0" borderId="0" xfId="0" applyNumberFormat="1" applyAlignment="1">
      <alignment horizontal="center" vertical="center"/>
    </xf>
    <xf numFmtId="49" fontId="2" fillId="0" borderId="6" xfId="0" applyNumberFormat="1" applyFont="1" applyBorder="1" applyAlignment="1">
      <alignment horizontal="center" vertical="top" wrapText="1"/>
    </xf>
    <xf numFmtId="49" fontId="2" fillId="0" borderId="7" xfId="0" applyNumberFormat="1" applyFont="1" applyBorder="1" applyAlignment="1">
      <alignment horizontal="center" vertical="top"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0" fillId="0" borderId="0" xfId="0" applyAlignment="1">
      <alignment horizontal="right" vertic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49" fontId="0" fillId="0" borderId="45" xfId="0" applyNumberFormat="1" applyBorder="1" applyAlignment="1">
      <alignment horizontal="center" vertical="center" wrapText="1"/>
    </xf>
    <xf numFmtId="49" fontId="0" fillId="0" borderId="31" xfId="0" applyNumberFormat="1" applyBorder="1" applyAlignment="1">
      <alignment horizontal="center" vertical="center" wrapText="1"/>
    </xf>
    <xf numFmtId="49" fontId="0" fillId="0" borderId="32" xfId="0" applyNumberFormat="1" applyBorder="1" applyAlignment="1">
      <alignment horizontal="center" vertical="center" wrapText="1"/>
    </xf>
    <xf numFmtId="49" fontId="0" fillId="0" borderId="33" xfId="0" applyNumberFormat="1" applyBorder="1" applyAlignment="1">
      <alignment horizontal="center" vertical="center" wrapText="1"/>
    </xf>
    <xf numFmtId="49" fontId="0" fillId="0" borderId="38" xfId="0" applyNumberForma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39" xfId="0" applyBorder="1" applyAlignment="1">
      <alignment horizontal="center"/>
    </xf>
    <xf numFmtId="0" fontId="0" fillId="0" borderId="46" xfId="0" applyBorder="1" applyAlignment="1">
      <alignment horizontal="center"/>
    </xf>
    <xf numFmtId="0" fontId="0" fillId="0" borderId="40" xfId="0" applyBorder="1" applyAlignment="1">
      <alignment horizontal="center"/>
    </xf>
  </cellXfs>
  <cellStyles count="3">
    <cellStyle name="Calculation" xfId="1" builtinId="22"/>
    <cellStyle name="Hyperlink" xfId="2" builtinId="8"/>
    <cellStyle name="Normal" xfId="0" builtinId="0"/>
  </cellStyles>
  <dxfs count="0"/>
  <tableStyles count="0" defaultTableStyle="TableStyleMedium9" defaultPivotStyle="PivotStyleLight16"/>
  <colors>
    <mruColors>
      <color rgb="FF56A2F6"/>
      <color rgb="FF2AACB8"/>
      <color rgb="FF6AAB73"/>
      <color rgb="FFC97BC0"/>
      <color rgb="FFBCBEC4"/>
      <color rgb="FFBABCC6"/>
      <color rgb="FF8C87C7"/>
      <color rgb="FF68A67D"/>
      <color rgb="FFCE936E"/>
      <color rgb="FFD395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130</xdr:row>
      <xdr:rowOff>139700</xdr:rowOff>
    </xdr:from>
    <xdr:to>
      <xdr:col>3</xdr:col>
      <xdr:colOff>6350</xdr:colOff>
      <xdr:row>153</xdr:row>
      <xdr:rowOff>125849</xdr:rowOff>
    </xdr:to>
    <xdr:pic>
      <xdr:nvPicPr>
        <xdr:cNvPr id="2" name="Picture 1" descr="software-roi-factors">
          <a:extLst>
            <a:ext uri="{FF2B5EF4-FFF2-40B4-BE49-F238E27FC236}">
              <a16:creationId xmlns:a16="http://schemas.microsoft.com/office/drawing/2014/main" id="{FF9E469A-A832-12CB-5617-E349EA9324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2300" y="25431750"/>
          <a:ext cx="6407150" cy="4221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playwright.dev/python/docs/test-assertion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3" Type="http://schemas.openxmlformats.org/officeDocument/2006/relationships/hyperlink" Target="https://developer.mozilla.org/en-US/docs/Web/HTTP/Status/207" TargetMode="External"/><Relationship Id="rId18" Type="http://schemas.openxmlformats.org/officeDocument/2006/relationships/hyperlink" Target="https://developer.mozilla.org/en-US/docs/Web/HTTP/Status/303" TargetMode="External"/><Relationship Id="rId26" Type="http://schemas.openxmlformats.org/officeDocument/2006/relationships/hyperlink" Target="https://developer.mozilla.org/en-US/docs/Web/HTTP/Status/402" TargetMode="External"/><Relationship Id="rId39" Type="http://schemas.openxmlformats.org/officeDocument/2006/relationships/hyperlink" Target="https://developer.mozilla.org/en-US/docs/Web/HTTP/Status/415" TargetMode="External"/><Relationship Id="rId21" Type="http://schemas.openxmlformats.org/officeDocument/2006/relationships/hyperlink" Target="https://developer.mozilla.org/en-US/docs/Web/HTTP/Status" TargetMode="External"/><Relationship Id="rId34" Type="http://schemas.openxmlformats.org/officeDocument/2006/relationships/hyperlink" Target="https://developer.mozilla.org/en-US/docs/Web/HTTP/Status/410" TargetMode="External"/><Relationship Id="rId42" Type="http://schemas.openxmlformats.org/officeDocument/2006/relationships/hyperlink" Target="https://developer.mozilla.org/en-US/docs/Web/HTTP/Status/418" TargetMode="External"/><Relationship Id="rId47" Type="http://schemas.openxmlformats.org/officeDocument/2006/relationships/hyperlink" Target="https://developer.mozilla.org/en-US/docs/Web/HTTP/Status/425" TargetMode="External"/><Relationship Id="rId50" Type="http://schemas.openxmlformats.org/officeDocument/2006/relationships/hyperlink" Target="https://developer.mozilla.org/en-US/docs/Web/HTTP/Status/429" TargetMode="External"/><Relationship Id="rId55" Type="http://schemas.openxmlformats.org/officeDocument/2006/relationships/hyperlink" Target="https://developer.mozilla.org/en-US/docs/Web/HTTP/Status/502" TargetMode="External"/><Relationship Id="rId63" Type="http://schemas.openxmlformats.org/officeDocument/2006/relationships/hyperlink" Target="https://developer.mozilla.org/en-US/docs/Web/HTTP/Status/511" TargetMode="External"/><Relationship Id="rId7" Type="http://schemas.openxmlformats.org/officeDocument/2006/relationships/hyperlink" Target="https://developer.mozilla.org/en-US/docs/Web/HTTP/Status/201" TargetMode="External"/><Relationship Id="rId2" Type="http://schemas.openxmlformats.org/officeDocument/2006/relationships/hyperlink" Target="https://developer.mozilla.org/en-US/docs/Web/HTTP/Status/100" TargetMode="External"/><Relationship Id="rId16" Type="http://schemas.openxmlformats.org/officeDocument/2006/relationships/hyperlink" Target="https://developer.mozilla.org/en-US/docs/Web/HTTP/Status/301" TargetMode="External"/><Relationship Id="rId29" Type="http://schemas.openxmlformats.org/officeDocument/2006/relationships/hyperlink" Target="https://developer.mozilla.org/en-US/docs/Web/HTTP/Status/405" TargetMode="External"/><Relationship Id="rId11" Type="http://schemas.openxmlformats.org/officeDocument/2006/relationships/hyperlink" Target="https://developer.mozilla.org/en-US/docs/Web/HTTP/Status/205" TargetMode="External"/><Relationship Id="rId24" Type="http://schemas.openxmlformats.org/officeDocument/2006/relationships/hyperlink" Target="https://developer.mozilla.org/en-US/docs/Web/HTTP/Status/400" TargetMode="External"/><Relationship Id="rId32" Type="http://schemas.openxmlformats.org/officeDocument/2006/relationships/hyperlink" Target="https://developer.mozilla.org/en-US/docs/Web/HTTP/Status/408" TargetMode="External"/><Relationship Id="rId37" Type="http://schemas.openxmlformats.org/officeDocument/2006/relationships/hyperlink" Target="https://developer.mozilla.org/en-US/docs/Web/HTTP/Status/413" TargetMode="External"/><Relationship Id="rId40" Type="http://schemas.openxmlformats.org/officeDocument/2006/relationships/hyperlink" Target="https://developer.mozilla.org/en-US/docs/Web/HTTP/Status/416" TargetMode="External"/><Relationship Id="rId45" Type="http://schemas.openxmlformats.org/officeDocument/2006/relationships/hyperlink" Target="https://developer.mozilla.org/en-US/docs/Web/HTTP/Status/423" TargetMode="External"/><Relationship Id="rId53" Type="http://schemas.openxmlformats.org/officeDocument/2006/relationships/hyperlink" Target="https://developer.mozilla.org/en-US/docs/Web/HTTP/Status/500" TargetMode="External"/><Relationship Id="rId58" Type="http://schemas.openxmlformats.org/officeDocument/2006/relationships/hyperlink" Target="https://developer.mozilla.org/en-US/docs/Web/HTTP/Status/505" TargetMode="External"/><Relationship Id="rId5" Type="http://schemas.openxmlformats.org/officeDocument/2006/relationships/hyperlink" Target="https://developer.mozilla.org/en-US/docs/Web/HTTP/Status/103" TargetMode="External"/><Relationship Id="rId61" Type="http://schemas.openxmlformats.org/officeDocument/2006/relationships/hyperlink" Target="https://developer.mozilla.org/en-US/docs/Web/HTTP/Status/508" TargetMode="External"/><Relationship Id="rId19" Type="http://schemas.openxmlformats.org/officeDocument/2006/relationships/hyperlink" Target="https://developer.mozilla.org/en-US/docs/Web/HTTP/Status/304" TargetMode="External"/><Relationship Id="rId14" Type="http://schemas.openxmlformats.org/officeDocument/2006/relationships/hyperlink" Target="https://developer.mozilla.org/en-US/docs/Web/HTTP/Status/226" TargetMode="External"/><Relationship Id="rId22" Type="http://schemas.openxmlformats.org/officeDocument/2006/relationships/hyperlink" Target="https://developer.mozilla.org/en-US/docs/Web/HTTP/Status/307" TargetMode="External"/><Relationship Id="rId27" Type="http://schemas.openxmlformats.org/officeDocument/2006/relationships/hyperlink" Target="https://developer.mozilla.org/en-US/docs/Web/HTTP/Status/403" TargetMode="External"/><Relationship Id="rId30" Type="http://schemas.openxmlformats.org/officeDocument/2006/relationships/hyperlink" Target="https://developer.mozilla.org/en-US/docs/Web/HTTP/Status/406" TargetMode="External"/><Relationship Id="rId35" Type="http://schemas.openxmlformats.org/officeDocument/2006/relationships/hyperlink" Target="https://developer.mozilla.org/en-US/docs/Web/HTTP/Status/411" TargetMode="External"/><Relationship Id="rId43" Type="http://schemas.openxmlformats.org/officeDocument/2006/relationships/hyperlink" Target="https://developer.mozilla.org/en-US/docs/Web/HTTP/Status/421" TargetMode="External"/><Relationship Id="rId48" Type="http://schemas.openxmlformats.org/officeDocument/2006/relationships/hyperlink" Target="https://developer.mozilla.org/en-US/docs/Web/HTTP/Status/426" TargetMode="External"/><Relationship Id="rId56" Type="http://schemas.openxmlformats.org/officeDocument/2006/relationships/hyperlink" Target="https://developer.mozilla.org/en-US/docs/Web/HTTP/Status/503" TargetMode="External"/><Relationship Id="rId64" Type="http://schemas.openxmlformats.org/officeDocument/2006/relationships/printerSettings" Target="../printerSettings/printerSettings8.bin"/><Relationship Id="rId8" Type="http://schemas.openxmlformats.org/officeDocument/2006/relationships/hyperlink" Target="https://developer.mozilla.org/en-US/docs/Web/HTTP/Status/202" TargetMode="External"/><Relationship Id="rId51" Type="http://schemas.openxmlformats.org/officeDocument/2006/relationships/hyperlink" Target="https://developer.mozilla.org/en-US/docs/Web/HTTP/Status/431" TargetMode="External"/><Relationship Id="rId3" Type="http://schemas.openxmlformats.org/officeDocument/2006/relationships/hyperlink" Target="https://developer.mozilla.org/en-US/docs/Web/HTTP/Status/101" TargetMode="External"/><Relationship Id="rId12" Type="http://schemas.openxmlformats.org/officeDocument/2006/relationships/hyperlink" Target="https://developer.mozilla.org/en-US/docs/Web/HTTP/Status/206" TargetMode="External"/><Relationship Id="rId17" Type="http://schemas.openxmlformats.org/officeDocument/2006/relationships/hyperlink" Target="https://developer.mozilla.org/en-US/docs/Web/HTTP/Status/302" TargetMode="External"/><Relationship Id="rId25" Type="http://schemas.openxmlformats.org/officeDocument/2006/relationships/hyperlink" Target="https://developer.mozilla.org/en-US/docs/Web/HTTP/Status/401" TargetMode="External"/><Relationship Id="rId33" Type="http://schemas.openxmlformats.org/officeDocument/2006/relationships/hyperlink" Target="https://developer.mozilla.org/en-US/docs/Web/HTTP/Status/409" TargetMode="External"/><Relationship Id="rId38" Type="http://schemas.openxmlformats.org/officeDocument/2006/relationships/hyperlink" Target="https://developer.mozilla.org/en-US/docs/Web/HTTP/Status/414" TargetMode="External"/><Relationship Id="rId46" Type="http://schemas.openxmlformats.org/officeDocument/2006/relationships/hyperlink" Target="https://developer.mozilla.org/en-US/docs/Web/HTTP/Status/424" TargetMode="External"/><Relationship Id="rId59" Type="http://schemas.openxmlformats.org/officeDocument/2006/relationships/hyperlink" Target="https://developer.mozilla.org/en-US/docs/Web/HTTP/Status/506" TargetMode="External"/><Relationship Id="rId20" Type="http://schemas.openxmlformats.org/officeDocument/2006/relationships/hyperlink" Target="https://developer.mozilla.org/en-US/docs/Web/HTTP/Status" TargetMode="External"/><Relationship Id="rId41" Type="http://schemas.openxmlformats.org/officeDocument/2006/relationships/hyperlink" Target="https://developer.mozilla.org/en-US/docs/Web/HTTP/Status/417" TargetMode="External"/><Relationship Id="rId54" Type="http://schemas.openxmlformats.org/officeDocument/2006/relationships/hyperlink" Target="https://developer.mozilla.org/en-US/docs/Web/HTTP/Status/501" TargetMode="External"/><Relationship Id="rId62" Type="http://schemas.openxmlformats.org/officeDocument/2006/relationships/hyperlink" Target="https://developer.mozilla.org/en-US/docs/Web/HTTP/Status/510" TargetMode="External"/><Relationship Id="rId1" Type="http://schemas.openxmlformats.org/officeDocument/2006/relationships/hyperlink" Target="https://developer.mozilla.org/en-US/docs/Web/HTTP/Status/208" TargetMode="External"/><Relationship Id="rId6" Type="http://schemas.openxmlformats.org/officeDocument/2006/relationships/hyperlink" Target="https://developer.mozilla.org/en-US/docs/Web/HTTP/Status/200" TargetMode="External"/><Relationship Id="rId15" Type="http://schemas.openxmlformats.org/officeDocument/2006/relationships/hyperlink" Target="https://developer.mozilla.org/en-US/docs/Web/HTTP/Status/300" TargetMode="External"/><Relationship Id="rId23" Type="http://schemas.openxmlformats.org/officeDocument/2006/relationships/hyperlink" Target="https://developer.mozilla.org/en-US/docs/Web/HTTP/Status/308" TargetMode="External"/><Relationship Id="rId28" Type="http://schemas.openxmlformats.org/officeDocument/2006/relationships/hyperlink" Target="https://developer.mozilla.org/en-US/docs/Web/HTTP/Status/404" TargetMode="External"/><Relationship Id="rId36" Type="http://schemas.openxmlformats.org/officeDocument/2006/relationships/hyperlink" Target="https://developer.mozilla.org/en-US/docs/Web/HTTP/Status/412" TargetMode="External"/><Relationship Id="rId49" Type="http://schemas.openxmlformats.org/officeDocument/2006/relationships/hyperlink" Target="https://developer.mozilla.org/en-US/docs/Web/HTTP/Status/428" TargetMode="External"/><Relationship Id="rId57" Type="http://schemas.openxmlformats.org/officeDocument/2006/relationships/hyperlink" Target="https://developer.mozilla.org/en-US/docs/Web/HTTP/Status/504" TargetMode="External"/><Relationship Id="rId10" Type="http://schemas.openxmlformats.org/officeDocument/2006/relationships/hyperlink" Target="https://developer.mozilla.org/en-US/docs/Web/HTTP/Status/204" TargetMode="External"/><Relationship Id="rId31" Type="http://schemas.openxmlformats.org/officeDocument/2006/relationships/hyperlink" Target="https://developer.mozilla.org/en-US/docs/Web/HTTP/Status/407" TargetMode="External"/><Relationship Id="rId44" Type="http://schemas.openxmlformats.org/officeDocument/2006/relationships/hyperlink" Target="https://developer.mozilla.org/en-US/docs/Web/HTTP/Status/422" TargetMode="External"/><Relationship Id="rId52" Type="http://schemas.openxmlformats.org/officeDocument/2006/relationships/hyperlink" Target="https://developer.mozilla.org/en-US/docs/Web/HTTP/Status/451" TargetMode="External"/><Relationship Id="rId60" Type="http://schemas.openxmlformats.org/officeDocument/2006/relationships/hyperlink" Target="https://developer.mozilla.org/en-US/docs/Web/HTTP/Status/507" TargetMode="External"/><Relationship Id="rId4" Type="http://schemas.openxmlformats.org/officeDocument/2006/relationships/hyperlink" Target="https://developer.mozilla.org/en-US/docs/Web/HTTP/Status/102" TargetMode="External"/><Relationship Id="rId9" Type="http://schemas.openxmlformats.org/officeDocument/2006/relationships/hyperlink" Target="https://developer.mozilla.org/en-US/docs/Web/HTTP/Status/20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workbookViewId="0">
      <selection activeCell="C40" sqref="C40"/>
    </sheetView>
  </sheetViews>
  <sheetFormatPr defaultRowHeight="14.4"/>
  <cols>
    <col min="1" max="1" width="7.77734375" style="1" customWidth="1"/>
    <col min="2" max="2" width="41.6640625" style="2" bestFit="1" customWidth="1"/>
    <col min="3" max="3" width="75.33203125" style="2" bestFit="1" customWidth="1"/>
    <col min="4" max="4" width="41.109375" customWidth="1"/>
  </cols>
  <sheetData>
    <row r="1" spans="1:12" ht="21">
      <c r="A1" s="4" t="s">
        <v>49</v>
      </c>
      <c r="B1" s="5" t="s">
        <v>50</v>
      </c>
      <c r="C1" s="5" t="s">
        <v>51</v>
      </c>
      <c r="D1" s="5"/>
      <c r="E1" s="5"/>
      <c r="F1" s="5"/>
      <c r="G1" s="5"/>
      <c r="H1" s="5"/>
      <c r="I1" s="5"/>
      <c r="J1" s="5"/>
      <c r="K1" s="5"/>
      <c r="L1" s="6"/>
    </row>
    <row r="2" spans="1:12">
      <c r="A2" s="3"/>
    </row>
    <row r="3" spans="1:12" ht="23.4">
      <c r="A3" s="3"/>
      <c r="B3" s="121" t="s">
        <v>1928</v>
      </c>
    </row>
    <row r="4" spans="1:12">
      <c r="A4" s="3"/>
    </row>
    <row r="5" spans="1:12" ht="28.8">
      <c r="A5" s="3"/>
      <c r="B5" s="72" t="s">
        <v>1929</v>
      </c>
      <c r="C5" s="2" t="s">
        <v>1934</v>
      </c>
    </row>
    <row r="6" spans="1:12">
      <c r="A6" s="3"/>
    </row>
    <row r="7" spans="1:12">
      <c r="A7" s="3"/>
      <c r="B7" s="2" t="s">
        <v>1930</v>
      </c>
    </row>
    <row r="8" spans="1:12">
      <c r="A8" s="3"/>
      <c r="B8" s="2" t="s">
        <v>1931</v>
      </c>
    </row>
    <row r="9" spans="1:12" ht="43.2">
      <c r="A9" s="3"/>
      <c r="B9" s="2" t="s">
        <v>1932</v>
      </c>
    </row>
    <row r="10" spans="1:12">
      <c r="A10" s="3"/>
      <c r="B10" s="2" t="s">
        <v>1933</v>
      </c>
    </row>
    <row r="11" spans="1:12">
      <c r="A11" s="3"/>
    </row>
    <row r="12" spans="1:12" ht="57.6">
      <c r="A12" s="3"/>
      <c r="B12" s="72" t="s">
        <v>1935</v>
      </c>
      <c r="C12" s="2" t="s">
        <v>1936</v>
      </c>
    </row>
    <row r="13" spans="1:12">
      <c r="A13" s="3"/>
    </row>
    <row r="14" spans="1:12" ht="15.6">
      <c r="A14" s="3"/>
      <c r="B14" s="83" t="s">
        <v>1937</v>
      </c>
    </row>
    <row r="15" spans="1:12">
      <c r="A15" s="3"/>
      <c r="B15" s="7"/>
    </row>
    <row r="16" spans="1:12" ht="28.8">
      <c r="A16" s="3"/>
      <c r="B16" s="70" t="s">
        <v>1938</v>
      </c>
      <c r="C16" s="2" t="s">
        <v>1939</v>
      </c>
    </row>
    <row r="17" spans="1:4" ht="57.6">
      <c r="A17" s="3"/>
      <c r="B17" s="7" t="s">
        <v>1940</v>
      </c>
      <c r="C17" s="2" t="s">
        <v>2077</v>
      </c>
      <c r="D17" s="32" t="s">
        <v>1941</v>
      </c>
    </row>
    <row r="18" spans="1:4">
      <c r="A18" s="3"/>
    </row>
    <row r="19" spans="1:4" ht="28.8">
      <c r="A19" s="3"/>
      <c r="B19" s="70" t="s">
        <v>1942</v>
      </c>
      <c r="C19" s="2" t="s">
        <v>1943</v>
      </c>
    </row>
    <row r="20" spans="1:4" ht="43.2">
      <c r="A20" s="3"/>
      <c r="B20" s="7" t="s">
        <v>1940</v>
      </c>
      <c r="C20" s="2" t="s">
        <v>2078</v>
      </c>
      <c r="D20" s="32" t="s">
        <v>1944</v>
      </c>
    </row>
    <row r="21" spans="1:4">
      <c r="A21" s="3"/>
      <c r="B21" s="7"/>
    </row>
    <row r="22" spans="1:4" ht="28.8">
      <c r="A22" s="3"/>
      <c r="B22" s="70" t="s">
        <v>1945</v>
      </c>
      <c r="C22" s="2" t="s">
        <v>1946</v>
      </c>
    </row>
    <row r="23" spans="1:4" ht="43.2">
      <c r="A23" s="3"/>
      <c r="B23" s="7" t="s">
        <v>1940</v>
      </c>
      <c r="C23" s="2" t="s">
        <v>2079</v>
      </c>
      <c r="D23" s="32" t="s">
        <v>1947</v>
      </c>
    </row>
    <row r="24" spans="1:4">
      <c r="A24" s="3"/>
    </row>
    <row r="25" spans="1:4" ht="28.8">
      <c r="A25" s="3"/>
      <c r="B25" s="70" t="s">
        <v>1948</v>
      </c>
      <c r="C25" s="2" t="s">
        <v>1949</v>
      </c>
    </row>
    <row r="26" spans="1:4" ht="72">
      <c r="A26" s="3"/>
      <c r="B26" s="7" t="s">
        <v>1940</v>
      </c>
      <c r="C26" s="2" t="s">
        <v>2080</v>
      </c>
      <c r="D26" s="32" t="s">
        <v>1950</v>
      </c>
    </row>
    <row r="27" spans="1:4">
      <c r="A27" s="3"/>
      <c r="B27" s="7"/>
    </row>
    <row r="28" spans="1:4">
      <c r="A28" s="3"/>
      <c r="B28" s="7"/>
    </row>
    <row r="29" spans="1:4" ht="43.2">
      <c r="A29" s="3"/>
      <c r="B29" s="123" t="s">
        <v>1951</v>
      </c>
      <c r="C29" s="2" t="s">
        <v>1952</v>
      </c>
    </row>
    <row r="30" spans="1:4">
      <c r="A30" s="3"/>
      <c r="B30" s="7"/>
    </row>
    <row r="31" spans="1:4">
      <c r="A31" s="3"/>
      <c r="B31" s="70" t="s">
        <v>1953</v>
      </c>
      <c r="C31" s="2" t="s">
        <v>1954</v>
      </c>
    </row>
    <row r="32" spans="1:4" ht="43.2">
      <c r="A32" s="3"/>
      <c r="B32" s="7" t="s">
        <v>1940</v>
      </c>
      <c r="C32" s="2" t="s">
        <v>2177</v>
      </c>
      <c r="D32" s="32" t="s">
        <v>1955</v>
      </c>
    </row>
    <row r="33" spans="1:4">
      <c r="A33" s="3"/>
      <c r="B33" s="70"/>
    </row>
    <row r="34" spans="1:4" ht="15.6">
      <c r="A34" s="3"/>
      <c r="B34" s="123" t="s">
        <v>1956</v>
      </c>
      <c r="C34" s="2" t="s">
        <v>1957</v>
      </c>
      <c r="D34" s="32"/>
    </row>
    <row r="35" spans="1:4">
      <c r="A35" s="3"/>
      <c r="B35" s="70" t="s">
        <v>1940</v>
      </c>
      <c r="C35" s="2" t="s">
        <v>2178</v>
      </c>
      <c r="D35" t="s">
        <v>1958</v>
      </c>
    </row>
    <row r="36" spans="1:4">
      <c r="A36" s="3"/>
      <c r="B36" s="7"/>
      <c r="D36" s="32"/>
    </row>
    <row r="37" spans="1:4" ht="43.2">
      <c r="A37" s="3"/>
      <c r="B37" s="70" t="s">
        <v>1959</v>
      </c>
      <c r="C37" s="2" t="s">
        <v>1960</v>
      </c>
    </row>
    <row r="38" spans="1:4">
      <c r="A38" s="3"/>
      <c r="B38" s="7" t="s">
        <v>1940</v>
      </c>
      <c r="C38" s="2" t="s">
        <v>2179</v>
      </c>
      <c r="D38" s="32"/>
    </row>
    <row r="39" spans="1:4">
      <c r="A39" s="3"/>
      <c r="B39" s="70"/>
    </row>
    <row r="40" spans="1:4" ht="43.2">
      <c r="A40" s="3"/>
      <c r="B40" s="70" t="s">
        <v>1961</v>
      </c>
      <c r="C40" s="2" t="s">
        <v>1962</v>
      </c>
      <c r="D40" s="32"/>
    </row>
    <row r="41" spans="1:4" ht="57.6">
      <c r="A41" s="3"/>
      <c r="B41" s="70" t="s">
        <v>1940</v>
      </c>
      <c r="C41" s="2" t="s">
        <v>2081</v>
      </c>
      <c r="D41" s="32" t="s">
        <v>1963</v>
      </c>
    </row>
    <row r="42" spans="1:4">
      <c r="A42" s="3"/>
    </row>
    <row r="43" spans="1:4">
      <c r="A43" s="3"/>
    </row>
    <row r="44" spans="1:4">
      <c r="A44" s="3"/>
    </row>
    <row r="45" spans="1:4">
      <c r="A45" s="3"/>
    </row>
    <row r="46" spans="1:4">
      <c r="A46" s="3"/>
    </row>
    <row r="47" spans="1:4">
      <c r="A47" s="3"/>
    </row>
    <row r="48" spans="1:4">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DCA8-D47D-4D42-9884-99746B10BE74}">
  <dimension ref="A2:F362"/>
  <sheetViews>
    <sheetView topLeftCell="A117" zoomScaleNormal="100" workbookViewId="0">
      <selection activeCell="D185" sqref="D185"/>
    </sheetView>
  </sheetViews>
  <sheetFormatPr defaultRowHeight="14.4"/>
  <cols>
    <col min="1" max="1" width="8.77734375" customWidth="1"/>
    <col min="2" max="2" width="41.109375" customWidth="1"/>
    <col min="3" max="3" width="50.77734375" customWidth="1"/>
    <col min="4" max="4" width="47.88671875" style="32" customWidth="1"/>
    <col min="7" max="7" width="12.77734375" customWidth="1"/>
    <col min="8" max="8" width="9.77734375" customWidth="1"/>
    <col min="9" max="9" width="11" customWidth="1"/>
  </cols>
  <sheetData>
    <row r="2" spans="1:3">
      <c r="A2" t="s">
        <v>1630</v>
      </c>
    </row>
    <row r="3" spans="1:3">
      <c r="B3" s="46" t="s">
        <v>1631</v>
      </c>
    </row>
    <row r="4" spans="1:3">
      <c r="B4" t="s">
        <v>2115</v>
      </c>
    </row>
    <row r="5" spans="1:3">
      <c r="B5" t="s">
        <v>2116</v>
      </c>
    </row>
    <row r="6" spans="1:3">
      <c r="B6" t="s">
        <v>2117</v>
      </c>
    </row>
    <row r="7" spans="1:3">
      <c r="B7" t="s">
        <v>2118</v>
      </c>
    </row>
    <row r="8" spans="1:3">
      <c r="B8" t="s">
        <v>2119</v>
      </c>
    </row>
    <row r="10" spans="1:3">
      <c r="B10" s="46" t="s">
        <v>2082</v>
      </c>
    </row>
    <row r="11" spans="1:3">
      <c r="B11" t="s">
        <v>2090</v>
      </c>
    </row>
    <row r="12" spans="1:3">
      <c r="B12" t="s">
        <v>2085</v>
      </c>
      <c r="C12" t="s">
        <v>2083</v>
      </c>
    </row>
    <row r="13" spans="1:3">
      <c r="C13" s="46" t="s">
        <v>2084</v>
      </c>
    </row>
    <row r="14" spans="1:3">
      <c r="C14" t="s">
        <v>1722</v>
      </c>
    </row>
    <row r="15" spans="1:3">
      <c r="C15" t="s">
        <v>2086</v>
      </c>
    </row>
    <row r="16" spans="1:3">
      <c r="B16" t="s">
        <v>490</v>
      </c>
      <c r="C16" t="s">
        <v>2087</v>
      </c>
    </row>
    <row r="17" spans="2:3">
      <c r="C17" t="s">
        <v>2088</v>
      </c>
    </row>
    <row r="18" spans="2:3">
      <c r="C18" t="s">
        <v>2089</v>
      </c>
    </row>
    <row r="19" spans="2:3">
      <c r="B19" t="s">
        <v>2091</v>
      </c>
    </row>
    <row r="23" spans="2:3">
      <c r="B23" t="s">
        <v>2097</v>
      </c>
      <c r="C23" t="s">
        <v>2098</v>
      </c>
    </row>
    <row r="24" spans="2:3">
      <c r="C24" t="s">
        <v>2092</v>
      </c>
    </row>
    <row r="25" spans="2:3">
      <c r="C25" t="s">
        <v>2093</v>
      </c>
    </row>
    <row r="26" spans="2:3">
      <c r="C26" t="s">
        <v>2094</v>
      </c>
    </row>
    <row r="27" spans="2:3">
      <c r="C27" t="s">
        <v>2095</v>
      </c>
    </row>
    <row r="28" spans="2:3">
      <c r="C28" t="s">
        <v>2096</v>
      </c>
    </row>
    <row r="31" spans="2:3">
      <c r="B31" s="46" t="s">
        <v>1632</v>
      </c>
    </row>
    <row r="33" spans="2:4">
      <c r="B33" t="s">
        <v>1991</v>
      </c>
      <c r="C33" t="s">
        <v>1992</v>
      </c>
    </row>
    <row r="34" spans="2:4">
      <c r="B34" t="s">
        <v>1993</v>
      </c>
      <c r="C34" t="s">
        <v>1994</v>
      </c>
    </row>
    <row r="35" spans="2:4" ht="57.6">
      <c r="C35" s="146" t="s">
        <v>1995</v>
      </c>
      <c r="D35" s="32" t="s">
        <v>1996</v>
      </c>
    </row>
    <row r="36" spans="2:4">
      <c r="C36" t="s">
        <v>1997</v>
      </c>
      <c r="D36" s="32" t="s">
        <v>2099</v>
      </c>
    </row>
    <row r="37" spans="2:4">
      <c r="D37" s="32" t="s">
        <v>2100</v>
      </c>
    </row>
    <row r="38" spans="2:4">
      <c r="D38" s="32" t="s">
        <v>2101</v>
      </c>
    </row>
    <row r="39" spans="2:4">
      <c r="D39" s="32" t="s">
        <v>2102</v>
      </c>
    </row>
    <row r="40" spans="2:4">
      <c r="C40" s="44" t="s">
        <v>1998</v>
      </c>
      <c r="D40" s="32" t="s">
        <v>2103</v>
      </c>
    </row>
    <row r="41" spans="2:4">
      <c r="C41" s="44"/>
      <c r="D41" s="32" t="s">
        <v>2104</v>
      </c>
    </row>
    <row r="42" spans="2:4">
      <c r="C42" s="44"/>
      <c r="D42" s="32" t="s">
        <v>2105</v>
      </c>
    </row>
    <row r="43" spans="2:4">
      <c r="C43" s="44"/>
      <c r="D43" s="32" t="s">
        <v>2106</v>
      </c>
    </row>
    <row r="44" spans="2:4">
      <c r="C44" s="44"/>
      <c r="D44" s="32" t="s">
        <v>2107</v>
      </c>
    </row>
    <row r="45" spans="2:4">
      <c r="C45" s="44"/>
      <c r="D45" s="32" t="s">
        <v>2108</v>
      </c>
    </row>
    <row r="46" spans="2:4">
      <c r="B46" t="s">
        <v>1999</v>
      </c>
      <c r="C46" t="s">
        <v>2000</v>
      </c>
    </row>
    <row r="47" spans="2:4">
      <c r="C47" t="s">
        <v>1633</v>
      </c>
    </row>
    <row r="48" spans="2:4">
      <c r="B48" t="s">
        <v>2001</v>
      </c>
      <c r="C48" t="s">
        <v>2002</v>
      </c>
    </row>
    <row r="49" spans="1:3">
      <c r="C49" t="s">
        <v>1634</v>
      </c>
    </row>
    <row r="51" spans="1:3">
      <c r="B51" t="s">
        <v>2003</v>
      </c>
      <c r="C51" t="s">
        <v>2004</v>
      </c>
    </row>
    <row r="52" spans="1:3">
      <c r="C52" t="s">
        <v>1635</v>
      </c>
    </row>
    <row r="54" spans="1:3">
      <c r="B54" t="s">
        <v>2005</v>
      </c>
      <c r="C54" t="s">
        <v>2006</v>
      </c>
    </row>
    <row r="56" spans="1:3">
      <c r="A56" t="s">
        <v>1636</v>
      </c>
    </row>
    <row r="57" spans="1:3">
      <c r="B57" t="s">
        <v>1637</v>
      </c>
    </row>
    <row r="60" spans="1:3">
      <c r="B60" t="s">
        <v>1638</v>
      </c>
    </row>
    <row r="61" spans="1:3">
      <c r="B61" t="s">
        <v>2109</v>
      </c>
    </row>
    <row r="62" spans="1:3">
      <c r="B62" t="s">
        <v>1639</v>
      </c>
    </row>
    <row r="64" spans="1:3">
      <c r="B64" t="s">
        <v>1640</v>
      </c>
    </row>
    <row r="65" spans="2:3">
      <c r="B65" t="s">
        <v>1900</v>
      </c>
    </row>
    <row r="67" spans="2:3">
      <c r="B67" t="s">
        <v>1641</v>
      </c>
    </row>
    <row r="68" spans="2:3">
      <c r="C68" t="s">
        <v>1642</v>
      </c>
    </row>
    <row r="69" spans="2:3">
      <c r="C69" t="s">
        <v>1643</v>
      </c>
    </row>
    <row r="70" spans="2:3">
      <c r="C70" t="s">
        <v>1644</v>
      </c>
    </row>
    <row r="71" spans="2:3">
      <c r="C71" t="s">
        <v>1645</v>
      </c>
    </row>
    <row r="72" spans="2:3">
      <c r="C72" t="s">
        <v>1646</v>
      </c>
    </row>
    <row r="73" spans="2:3">
      <c r="C73" t="s">
        <v>1647</v>
      </c>
    </row>
    <row r="74" spans="2:3">
      <c r="C74" t="s">
        <v>1648</v>
      </c>
    </row>
    <row r="76" spans="2:3">
      <c r="B76" t="s">
        <v>1649</v>
      </c>
    </row>
    <row r="77" spans="2:3">
      <c r="B77" t="s">
        <v>1901</v>
      </c>
    </row>
    <row r="78" spans="2:3">
      <c r="B78" t="s">
        <v>1902</v>
      </c>
    </row>
    <row r="79" spans="2:3">
      <c r="C79" t="s">
        <v>1650</v>
      </c>
    </row>
    <row r="80" spans="2:3">
      <c r="C80" t="s">
        <v>1651</v>
      </c>
    </row>
    <row r="81" spans="2:3">
      <c r="B81" t="s">
        <v>1903</v>
      </c>
    </row>
    <row r="82" spans="2:3">
      <c r="B82" t="s">
        <v>1652</v>
      </c>
    </row>
    <row r="83" spans="2:3">
      <c r="B83" t="s">
        <v>1904</v>
      </c>
    </row>
    <row r="85" spans="2:3">
      <c r="B85" t="s">
        <v>1653</v>
      </c>
    </row>
    <row r="86" spans="2:3">
      <c r="B86" t="s">
        <v>1654</v>
      </c>
    </row>
    <row r="87" spans="2:3">
      <c r="C87" t="s">
        <v>1655</v>
      </c>
    </row>
    <row r="88" spans="2:3">
      <c r="C88" t="s">
        <v>1656</v>
      </c>
    </row>
    <row r="90" spans="2:3">
      <c r="B90" t="s">
        <v>1657</v>
      </c>
    </row>
    <row r="91" spans="2:3">
      <c r="C91" t="s">
        <v>1658</v>
      </c>
    </row>
    <row r="92" spans="2:3">
      <c r="C92" t="s">
        <v>1659</v>
      </c>
    </row>
    <row r="94" spans="2:3">
      <c r="B94" t="s">
        <v>1660</v>
      </c>
    </row>
    <row r="95" spans="2:3">
      <c r="B95" t="s">
        <v>2007</v>
      </c>
      <c r="C95" t="s">
        <v>2008</v>
      </c>
    </row>
    <row r="96" spans="2:3">
      <c r="B96" t="s">
        <v>2009</v>
      </c>
      <c r="C96" t="s">
        <v>2010</v>
      </c>
    </row>
    <row r="97" spans="2:3">
      <c r="B97" t="s">
        <v>2011</v>
      </c>
      <c r="C97" t="s">
        <v>2012</v>
      </c>
    </row>
    <row r="98" spans="2:3">
      <c r="B98" t="s">
        <v>2013</v>
      </c>
      <c r="C98" t="s">
        <v>2014</v>
      </c>
    </row>
    <row r="99" spans="2:3">
      <c r="B99" t="s">
        <v>2015</v>
      </c>
      <c r="C99" t="s">
        <v>2016</v>
      </c>
    </row>
    <row r="100" spans="2:3">
      <c r="B100" t="s">
        <v>2017</v>
      </c>
      <c r="C100" t="s">
        <v>2018</v>
      </c>
    </row>
    <row r="101" spans="2:3">
      <c r="B101" t="s">
        <v>2019</v>
      </c>
      <c r="C101" t="s">
        <v>2020</v>
      </c>
    </row>
    <row r="102" spans="2:3">
      <c r="B102" t="s">
        <v>2021</v>
      </c>
      <c r="C102" t="s">
        <v>2022</v>
      </c>
    </row>
    <row r="103" spans="2:3">
      <c r="B103" t="s">
        <v>2023</v>
      </c>
      <c r="C103" t="s">
        <v>2024</v>
      </c>
    </row>
    <row r="105" spans="2:3" ht="15.6">
      <c r="B105" s="107" t="s">
        <v>1661</v>
      </c>
      <c r="C105" t="s">
        <v>2123</v>
      </c>
    </row>
    <row r="107" spans="2:3">
      <c r="B107" s="46" t="s">
        <v>2124</v>
      </c>
      <c r="C107" t="s">
        <v>2125</v>
      </c>
    </row>
    <row r="110" spans="2:3">
      <c r="B110" s="46" t="s">
        <v>2126</v>
      </c>
      <c r="C110" t="s">
        <v>2127</v>
      </c>
    </row>
    <row r="112" spans="2:3">
      <c r="B112" s="46" t="s">
        <v>2132</v>
      </c>
      <c r="C112" t="s">
        <v>2129</v>
      </c>
    </row>
    <row r="114" spans="2:4">
      <c r="C114" t="s">
        <v>2130</v>
      </c>
    </row>
    <row r="115" spans="2:4">
      <c r="C115" t="s">
        <v>2131</v>
      </c>
    </row>
    <row r="117" spans="2:4">
      <c r="C117" t="s">
        <v>2128</v>
      </c>
    </row>
    <row r="120" spans="2:4" ht="28.8">
      <c r="B120" s="46" t="s">
        <v>2133</v>
      </c>
      <c r="C120" s="154" t="s">
        <v>2137</v>
      </c>
      <c r="D120" s="105" t="s">
        <v>2138</v>
      </c>
    </row>
    <row r="121" spans="2:4" ht="28.8">
      <c r="B121" s="46"/>
      <c r="C121" s="154"/>
      <c r="D121" s="105" t="s">
        <v>2136</v>
      </c>
    </row>
    <row r="122" spans="2:4">
      <c r="C122" t="s">
        <v>2134</v>
      </c>
    </row>
    <row r="123" spans="2:4" ht="28.8">
      <c r="C123" s="154" t="s">
        <v>2139</v>
      </c>
      <c r="D123" s="105" t="s">
        <v>2140</v>
      </c>
    </row>
    <row r="124" spans="2:4">
      <c r="C124" t="s">
        <v>2135</v>
      </c>
    </row>
    <row r="125" spans="2:4" ht="28.8">
      <c r="C125" t="s">
        <v>2141</v>
      </c>
      <c r="D125" s="32" t="s">
        <v>2142</v>
      </c>
    </row>
    <row r="126" spans="2:4" ht="28.8">
      <c r="C126" t="s">
        <v>2143</v>
      </c>
      <c r="D126" s="32" t="s">
        <v>2144</v>
      </c>
    </row>
    <row r="127" spans="2:4">
      <c r="C127" t="s">
        <v>2145</v>
      </c>
      <c r="D127" s="32" t="s">
        <v>2146</v>
      </c>
    </row>
    <row r="130" spans="2:2" ht="18">
      <c r="B130" s="46" t="s">
        <v>2147</v>
      </c>
    </row>
    <row r="156" spans="2:3" ht="15.6">
      <c r="B156" s="107" t="s">
        <v>2148</v>
      </c>
    </row>
    <row r="158" spans="2:3">
      <c r="B158" s="46" t="s">
        <v>2149</v>
      </c>
      <c r="C158" t="s">
        <v>2150</v>
      </c>
    </row>
    <row r="159" spans="2:3">
      <c r="C159" t="s">
        <v>2151</v>
      </c>
    </row>
    <row r="160" spans="2:3">
      <c r="C160" t="s">
        <v>2152</v>
      </c>
    </row>
    <row r="161" spans="2:4">
      <c r="C161" t="s">
        <v>2153</v>
      </c>
    </row>
    <row r="163" spans="2:4">
      <c r="B163" s="46" t="s">
        <v>2154</v>
      </c>
      <c r="C163" t="s">
        <v>2155</v>
      </c>
    </row>
    <row r="165" spans="2:4" ht="28.8">
      <c r="B165" s="46" t="s">
        <v>2156</v>
      </c>
      <c r="C165" s="32" t="s">
        <v>2157</v>
      </c>
    </row>
    <row r="166" spans="2:4" ht="28.8">
      <c r="C166" s="32" t="s">
        <v>2158</v>
      </c>
    </row>
    <row r="167" spans="2:4" ht="43.2">
      <c r="C167" s="32" t="s">
        <v>2159</v>
      </c>
    </row>
    <row r="169" spans="2:4" ht="43.2">
      <c r="B169" s="46" t="s">
        <v>2160</v>
      </c>
      <c r="C169" s="32" t="s">
        <v>2161</v>
      </c>
    </row>
    <row r="171" spans="2:4" ht="43.2">
      <c r="C171" s="32" t="s">
        <v>2162</v>
      </c>
      <c r="D171" s="32" t="s">
        <v>2163</v>
      </c>
    </row>
    <row r="172" spans="2:4">
      <c r="C172" s="32"/>
    </row>
    <row r="173" spans="2:4">
      <c r="C173" s="32"/>
    </row>
    <row r="174" spans="2:4" ht="18">
      <c r="B174" s="73" t="s">
        <v>2164</v>
      </c>
      <c r="C174" s="32"/>
    </row>
    <row r="175" spans="2:4">
      <c r="C175" s="32"/>
    </row>
    <row r="176" spans="2:4" ht="31.2">
      <c r="B176" s="155" t="s">
        <v>2165</v>
      </c>
      <c r="C176" s="32" t="s">
        <v>2166</v>
      </c>
    </row>
    <row r="177" spans="2:3" ht="28.8">
      <c r="C177" s="32" t="s">
        <v>2167</v>
      </c>
    </row>
    <row r="178" spans="2:3">
      <c r="C178" s="32"/>
    </row>
    <row r="179" spans="2:3" ht="31.2">
      <c r="B179" s="155" t="s">
        <v>2168</v>
      </c>
      <c r="C179" s="32" t="s">
        <v>2169</v>
      </c>
    </row>
    <row r="180" spans="2:3" ht="28.8">
      <c r="C180" s="32" t="s">
        <v>2170</v>
      </c>
    </row>
    <row r="181" spans="2:3" ht="28.8">
      <c r="C181" s="32" t="s">
        <v>2171</v>
      </c>
    </row>
    <row r="182" spans="2:3" ht="28.8">
      <c r="C182" s="32" t="s">
        <v>2172</v>
      </c>
    </row>
    <row r="183" spans="2:3" ht="28.8">
      <c r="C183" s="32" t="s">
        <v>2173</v>
      </c>
    </row>
    <row r="184" spans="2:3" ht="28.8">
      <c r="C184" s="32" t="s">
        <v>2174</v>
      </c>
    </row>
    <row r="185" spans="2:3">
      <c r="C185" s="32"/>
    </row>
    <row r="186" spans="2:3" ht="15.6">
      <c r="B186" s="155" t="s">
        <v>2175</v>
      </c>
      <c r="C186" s="32"/>
    </row>
    <row r="187" spans="2:3" ht="28.8">
      <c r="C187" s="32" t="s">
        <v>2176</v>
      </c>
    </row>
    <row r="188" spans="2:3">
      <c r="C188" s="32"/>
    </row>
    <row r="189" spans="2:3">
      <c r="C189" s="32"/>
    </row>
    <row r="190" spans="2:3">
      <c r="C190" s="32"/>
    </row>
    <row r="191" spans="2:3">
      <c r="C191" s="32"/>
    </row>
    <row r="192" spans="2:3">
      <c r="C192" s="32"/>
    </row>
    <row r="193" spans="2:3">
      <c r="C193" s="32"/>
    </row>
    <row r="194" spans="2:3">
      <c r="C194" s="32"/>
    </row>
    <row r="197" spans="2:3" ht="21">
      <c r="B197" s="128" t="s">
        <v>1662</v>
      </c>
    </row>
    <row r="198" spans="2:3">
      <c r="C198" t="s">
        <v>2110</v>
      </c>
    </row>
    <row r="199" spans="2:3">
      <c r="B199" t="s">
        <v>1663</v>
      </c>
    </row>
    <row r="200" spans="2:3">
      <c r="C200" t="s">
        <v>1664</v>
      </c>
    </row>
    <row r="201" spans="2:3">
      <c r="C201" t="s">
        <v>1665</v>
      </c>
    </row>
    <row r="202" spans="2:3">
      <c r="C202" t="s">
        <v>1666</v>
      </c>
    </row>
    <row r="203" spans="2:3">
      <c r="C203" t="s">
        <v>1667</v>
      </c>
    </row>
    <row r="205" spans="2:3" ht="18">
      <c r="B205" s="73" t="s">
        <v>1668</v>
      </c>
    </row>
    <row r="206" spans="2:3">
      <c r="B206" t="s">
        <v>1669</v>
      </c>
      <c r="C206" t="s">
        <v>1905</v>
      </c>
    </row>
    <row r="207" spans="2:3">
      <c r="B207" t="s">
        <v>1670</v>
      </c>
      <c r="C207" t="s">
        <v>1671</v>
      </c>
    </row>
    <row r="208" spans="2:3">
      <c r="B208" t="s">
        <v>1906</v>
      </c>
      <c r="C208" t="s">
        <v>1907</v>
      </c>
    </row>
    <row r="209" spans="1:4">
      <c r="C209" t="s">
        <v>1908</v>
      </c>
      <c r="D209" s="108" t="s">
        <v>1672</v>
      </c>
    </row>
    <row r="210" spans="1:4">
      <c r="C210" s="106" t="s">
        <v>1673</v>
      </c>
      <c r="D210" s="108"/>
    </row>
    <row r="211" spans="1:4">
      <c r="B211" t="s">
        <v>1674</v>
      </c>
      <c r="C211" t="s">
        <v>1675</v>
      </c>
    </row>
    <row r="212" spans="1:4">
      <c r="B212" t="s">
        <v>1676</v>
      </c>
      <c r="C212" t="s">
        <v>1677</v>
      </c>
    </row>
    <row r="213" spans="1:4">
      <c r="B213" t="s">
        <v>1678</v>
      </c>
      <c r="C213" t="s">
        <v>1679</v>
      </c>
    </row>
    <row r="214" spans="1:4">
      <c r="B214" t="s">
        <v>1909</v>
      </c>
      <c r="C214" t="s">
        <v>1910</v>
      </c>
    </row>
    <row r="219" spans="1:4">
      <c r="A219" t="s">
        <v>1702</v>
      </c>
    </row>
    <row r="221" spans="1:4">
      <c r="A221" t="s">
        <v>1703</v>
      </c>
    </row>
    <row r="224" spans="1:4" ht="23.4">
      <c r="A224" s="126" t="s">
        <v>1704</v>
      </c>
    </row>
    <row r="225" spans="1:6">
      <c r="B225" t="s">
        <v>1719</v>
      </c>
      <c r="C225" t="s">
        <v>1720</v>
      </c>
      <c r="D225" s="32" t="s">
        <v>1723</v>
      </c>
      <c r="E225" t="s">
        <v>1721</v>
      </c>
    </row>
    <row r="226" spans="1:6">
      <c r="C226" t="s">
        <v>1722</v>
      </c>
      <c r="D226" s="32" t="s">
        <v>1724</v>
      </c>
      <c r="E226" t="s">
        <v>1725</v>
      </c>
      <c r="F226" t="s">
        <v>1726</v>
      </c>
    </row>
    <row r="228" spans="1:6">
      <c r="B228" t="s">
        <v>1731</v>
      </c>
    </row>
    <row r="229" spans="1:6">
      <c r="C229" t="s">
        <v>1732</v>
      </c>
    </row>
    <row r="230" spans="1:6">
      <c r="C230" t="s">
        <v>1733</v>
      </c>
    </row>
    <row r="231" spans="1:6">
      <c r="C231" t="s">
        <v>1734</v>
      </c>
    </row>
    <row r="232" spans="1:6">
      <c r="C232" t="s">
        <v>1735</v>
      </c>
    </row>
    <row r="233" spans="1:6">
      <c r="C233" t="s">
        <v>1736</v>
      </c>
    </row>
    <row r="234" spans="1:6">
      <c r="C234" t="s">
        <v>1760</v>
      </c>
    </row>
    <row r="236" spans="1:6">
      <c r="A236" t="s">
        <v>1737</v>
      </c>
    </row>
    <row r="237" spans="1:6">
      <c r="B237" t="s">
        <v>1720</v>
      </c>
    </row>
    <row r="239" spans="1:6">
      <c r="B239" t="s">
        <v>1729</v>
      </c>
      <c r="C239" t="s">
        <v>1744</v>
      </c>
    </row>
    <row r="240" spans="1:6">
      <c r="C240" t="s">
        <v>1746</v>
      </c>
    </row>
    <row r="241" spans="2:3">
      <c r="C241" t="s">
        <v>1745</v>
      </c>
    </row>
    <row r="243" spans="2:3">
      <c r="B243" t="s">
        <v>1738</v>
      </c>
      <c r="C243" t="s">
        <v>1747</v>
      </c>
    </row>
    <row r="244" spans="2:3">
      <c r="C244" t="s">
        <v>1768</v>
      </c>
    </row>
    <row r="246" spans="2:3">
      <c r="B246" t="s">
        <v>1761</v>
      </c>
      <c r="C246" t="s">
        <v>1762</v>
      </c>
    </row>
    <row r="248" spans="2:3">
      <c r="B248" t="s">
        <v>1748</v>
      </c>
      <c r="C248" t="s">
        <v>1749</v>
      </c>
    </row>
    <row r="249" spans="2:3">
      <c r="C249" t="s">
        <v>1763</v>
      </c>
    </row>
    <row r="251" spans="2:3">
      <c r="B251" t="s">
        <v>1739</v>
      </c>
      <c r="C251" t="s">
        <v>1750</v>
      </c>
    </row>
    <row r="253" spans="2:3">
      <c r="B253" t="s">
        <v>1740</v>
      </c>
      <c r="C253" t="s">
        <v>1751</v>
      </c>
    </row>
    <row r="254" spans="2:3">
      <c r="C254" t="s">
        <v>1752</v>
      </c>
    </row>
    <row r="256" spans="2:3">
      <c r="B256" t="s">
        <v>1741</v>
      </c>
      <c r="C256" t="s">
        <v>1753</v>
      </c>
    </row>
    <row r="257" spans="2:3">
      <c r="C257" t="s">
        <v>1754</v>
      </c>
    </row>
    <row r="258" spans="2:3">
      <c r="C258" t="s">
        <v>1755</v>
      </c>
    </row>
    <row r="260" spans="2:3">
      <c r="B260" t="s">
        <v>1742</v>
      </c>
      <c r="C260" t="s">
        <v>1756</v>
      </c>
    </row>
    <row r="261" spans="2:3">
      <c r="C261" t="s">
        <v>1757</v>
      </c>
    </row>
    <row r="263" spans="2:3">
      <c r="B263" t="s">
        <v>1764</v>
      </c>
      <c r="C263" t="s">
        <v>1765</v>
      </c>
    </row>
    <row r="264" spans="2:3">
      <c r="C264" t="s">
        <v>1766</v>
      </c>
    </row>
    <row r="265" spans="2:3">
      <c r="C265" t="s">
        <v>1767</v>
      </c>
    </row>
    <row r="267" spans="2:3">
      <c r="B267" t="s">
        <v>1743</v>
      </c>
      <c r="C267" t="s">
        <v>1758</v>
      </c>
    </row>
    <row r="268" spans="2:3">
      <c r="C268" t="s">
        <v>1759</v>
      </c>
    </row>
    <row r="270" spans="2:3">
      <c r="B270" t="s">
        <v>1769</v>
      </c>
    </row>
    <row r="271" spans="2:3">
      <c r="B271" t="s">
        <v>1770</v>
      </c>
      <c r="C271" t="s">
        <v>1771</v>
      </c>
    </row>
    <row r="272" spans="2:3">
      <c r="C272" t="s">
        <v>1772</v>
      </c>
    </row>
    <row r="273" spans="2:4">
      <c r="C273" t="s">
        <v>1773</v>
      </c>
    </row>
    <row r="274" spans="2:4">
      <c r="C274" t="s">
        <v>1774</v>
      </c>
    </row>
    <row r="275" spans="2:4">
      <c r="C275" t="s">
        <v>1775</v>
      </c>
    </row>
    <row r="277" spans="2:4">
      <c r="B277" t="s">
        <v>1776</v>
      </c>
      <c r="C277" t="s">
        <v>1777</v>
      </c>
    </row>
    <row r="278" spans="2:4">
      <c r="C278" t="s">
        <v>1778</v>
      </c>
    </row>
    <row r="279" spans="2:4">
      <c r="C279" t="s">
        <v>1779</v>
      </c>
    </row>
    <row r="281" spans="2:4">
      <c r="B281" t="s">
        <v>1780</v>
      </c>
      <c r="C281" t="s">
        <v>1781</v>
      </c>
    </row>
    <row r="282" spans="2:4">
      <c r="C282" t="s">
        <v>1782</v>
      </c>
    </row>
    <row r="284" spans="2:4" ht="15.6">
      <c r="B284" s="107" t="s">
        <v>1783</v>
      </c>
    </row>
    <row r="285" spans="2:4">
      <c r="B285" t="s">
        <v>1784</v>
      </c>
    </row>
    <row r="286" spans="2:4">
      <c r="B286" t="s">
        <v>1785</v>
      </c>
    </row>
    <row r="287" spans="2:4">
      <c r="B287" t="s">
        <v>1786</v>
      </c>
    </row>
    <row r="288" spans="2:4">
      <c r="B288" t="s">
        <v>1787</v>
      </c>
      <c r="C288" t="s">
        <v>1788</v>
      </c>
      <c r="D288" s="32" t="s">
        <v>1743</v>
      </c>
    </row>
    <row r="289" spans="1:6">
      <c r="B289" t="s">
        <v>1789</v>
      </c>
    </row>
    <row r="290" spans="1:6">
      <c r="B290" t="s">
        <v>1790</v>
      </c>
    </row>
    <row r="291" spans="1:6">
      <c r="B291" t="s">
        <v>1791</v>
      </c>
    </row>
    <row r="293" spans="1:6">
      <c r="B293" t="s">
        <v>1792</v>
      </c>
    </row>
    <row r="294" spans="1:6" ht="18">
      <c r="A294" s="73" t="s">
        <v>1705</v>
      </c>
    </row>
    <row r="295" spans="1:6">
      <c r="B295" t="s">
        <v>1727</v>
      </c>
      <c r="C295" t="s">
        <v>1728</v>
      </c>
      <c r="D295" s="32" t="s">
        <v>1729</v>
      </c>
      <c r="E295" t="s">
        <v>1720</v>
      </c>
      <c r="F295" t="s">
        <v>1730</v>
      </c>
    </row>
    <row r="296" spans="1:6">
      <c r="C296" t="s">
        <v>1793</v>
      </c>
    </row>
    <row r="297" spans="1:6">
      <c r="B297" t="s">
        <v>1794</v>
      </c>
    </row>
    <row r="298" spans="1:6">
      <c r="B298" t="s">
        <v>1795</v>
      </c>
    </row>
    <row r="300" spans="1:6">
      <c r="B300" s="46" t="s">
        <v>1796</v>
      </c>
    </row>
    <row r="301" spans="1:6">
      <c r="B301" t="s">
        <v>1729</v>
      </c>
    </row>
    <row r="302" spans="1:6">
      <c r="B302" t="s">
        <v>1798</v>
      </c>
    </row>
    <row r="303" spans="1:6">
      <c r="B303" t="s">
        <v>1797</v>
      </c>
    </row>
    <row r="304" spans="1:6">
      <c r="B304" t="s">
        <v>1740</v>
      </c>
    </row>
    <row r="305" spans="1:2">
      <c r="B305" t="s">
        <v>1799</v>
      </c>
    </row>
    <row r="306" spans="1:2">
      <c r="B306" t="s">
        <v>1800</v>
      </c>
    </row>
    <row r="307" spans="1:2">
      <c r="B307" t="s">
        <v>1801</v>
      </c>
    </row>
    <row r="309" spans="1:2">
      <c r="B309" s="46" t="s">
        <v>1802</v>
      </c>
    </row>
    <row r="311" spans="1:2">
      <c r="B311" t="s">
        <v>1803</v>
      </c>
    </row>
    <row r="312" spans="1:2">
      <c r="B312" t="s">
        <v>1804</v>
      </c>
    </row>
    <row r="313" spans="1:2">
      <c r="B313" t="s">
        <v>1805</v>
      </c>
    </row>
    <row r="314" spans="1:2">
      <c r="B314" t="s">
        <v>1806</v>
      </c>
    </row>
    <row r="315" spans="1:2">
      <c r="B315" t="s">
        <v>1807</v>
      </c>
    </row>
    <row r="316" spans="1:2">
      <c r="B316" t="s">
        <v>1808</v>
      </c>
    </row>
    <row r="317" spans="1:2">
      <c r="B317" t="s">
        <v>1809</v>
      </c>
    </row>
    <row r="319" spans="1:2" ht="21">
      <c r="A319" s="128" t="s">
        <v>1810</v>
      </c>
    </row>
    <row r="320" spans="1:2" ht="15" thickBot="1"/>
    <row r="321" spans="2:4" ht="21.6" thickBot="1">
      <c r="B321" s="132" t="s">
        <v>1811</v>
      </c>
      <c r="C321" s="133" t="s">
        <v>1812</v>
      </c>
      <c r="D321" s="134" t="s">
        <v>1813</v>
      </c>
    </row>
    <row r="322" spans="2:4" ht="46.8">
      <c r="B322" s="129" t="s">
        <v>1814</v>
      </c>
      <c r="C322" s="109" t="s">
        <v>1911</v>
      </c>
      <c r="D322" s="110" t="s">
        <v>1912</v>
      </c>
    </row>
    <row r="323" spans="2:4" ht="46.8">
      <c r="B323" s="130" t="s">
        <v>1815</v>
      </c>
      <c r="C323" s="111" t="s">
        <v>2111</v>
      </c>
      <c r="D323" s="112" t="s">
        <v>2112</v>
      </c>
    </row>
    <row r="324" spans="2:4" ht="31.2">
      <c r="B324" s="130" t="s">
        <v>1729</v>
      </c>
      <c r="C324" s="116" t="s">
        <v>2113</v>
      </c>
      <c r="D324" s="117" t="s">
        <v>2114</v>
      </c>
    </row>
    <row r="325" spans="2:4" ht="31.2">
      <c r="B325" s="130" t="s">
        <v>1816</v>
      </c>
      <c r="C325" s="111" t="s">
        <v>1817</v>
      </c>
      <c r="D325" s="113" t="s">
        <v>1818</v>
      </c>
    </row>
    <row r="326" spans="2:4" ht="31.2">
      <c r="B326" s="130" t="s">
        <v>1819</v>
      </c>
      <c r="C326" s="111" t="s">
        <v>2120</v>
      </c>
      <c r="D326" s="113" t="s">
        <v>2121</v>
      </c>
    </row>
    <row r="327" spans="2:4" ht="46.8">
      <c r="B327" s="130" t="s">
        <v>1796</v>
      </c>
      <c r="C327" s="111" t="s">
        <v>1913</v>
      </c>
      <c r="D327" s="112" t="s">
        <v>1820</v>
      </c>
    </row>
    <row r="328" spans="2:4" ht="31.2">
      <c r="B328" s="130" t="s">
        <v>1821</v>
      </c>
      <c r="C328" s="111" t="s">
        <v>1914</v>
      </c>
      <c r="D328" s="113" t="s">
        <v>1915</v>
      </c>
    </row>
    <row r="329" spans="2:4" ht="46.8">
      <c r="B329" s="130" t="s">
        <v>1822</v>
      </c>
      <c r="C329" s="111" t="s">
        <v>1823</v>
      </c>
      <c r="D329" s="113" t="s">
        <v>1824</v>
      </c>
    </row>
    <row r="330" spans="2:4" ht="31.2">
      <c r="B330" s="130" t="s">
        <v>1825</v>
      </c>
      <c r="C330" s="111" t="s">
        <v>1916</v>
      </c>
      <c r="D330" s="113" t="s">
        <v>1917</v>
      </c>
    </row>
    <row r="331" spans="2:4" ht="31.2">
      <c r="B331" s="130" t="s">
        <v>1826</v>
      </c>
      <c r="C331" s="118" t="s">
        <v>1827</v>
      </c>
      <c r="D331" s="112" t="s">
        <v>1828</v>
      </c>
    </row>
    <row r="332" spans="2:4" ht="31.8" thickBot="1">
      <c r="B332" s="131" t="s">
        <v>1829</v>
      </c>
      <c r="C332" s="114" t="s">
        <v>1918</v>
      </c>
      <c r="D332" s="115" t="s">
        <v>1919</v>
      </c>
    </row>
    <row r="335" spans="2:4">
      <c r="B335" t="s">
        <v>1707</v>
      </c>
    </row>
    <row r="338" spans="1:2">
      <c r="B338" t="s">
        <v>1708</v>
      </c>
    </row>
    <row r="341" spans="1:2">
      <c r="B341" t="s">
        <v>1709</v>
      </c>
    </row>
    <row r="344" spans="1:2">
      <c r="A344" t="s">
        <v>1710</v>
      </c>
    </row>
    <row r="346" spans="1:2">
      <c r="A346" t="s">
        <v>1711</v>
      </c>
    </row>
    <row r="348" spans="1:2">
      <c r="A348" t="s">
        <v>1712</v>
      </c>
    </row>
    <row r="350" spans="1:2">
      <c r="A350" t="s">
        <v>1713</v>
      </c>
    </row>
    <row r="352" spans="1:2">
      <c r="A352" t="s">
        <v>1714</v>
      </c>
    </row>
    <row r="354" spans="1:1">
      <c r="A354" t="s">
        <v>1715</v>
      </c>
    </row>
    <row r="357" spans="1:1">
      <c r="A357" t="s">
        <v>1716</v>
      </c>
    </row>
    <row r="359" spans="1:1">
      <c r="A359" t="s">
        <v>1717</v>
      </c>
    </row>
    <row r="360" spans="1:1">
      <c r="A360" t="s">
        <v>1718</v>
      </c>
    </row>
    <row r="362" spans="1:1">
      <c r="A362" t="s">
        <v>1927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0B62-CAA7-47C2-92BE-BA63895B3CDC}">
  <dimension ref="A2:H175"/>
  <sheetViews>
    <sheetView topLeftCell="A167" zoomScale="120" zoomScaleNormal="120" workbookViewId="0">
      <selection activeCell="H142" sqref="H142"/>
    </sheetView>
  </sheetViews>
  <sheetFormatPr defaultRowHeight="14.4"/>
  <cols>
    <col min="2" max="2" width="41.109375" customWidth="1"/>
    <col min="3" max="3" width="50.77734375" customWidth="1"/>
    <col min="4" max="4" width="24.33203125" bestFit="1" customWidth="1"/>
    <col min="7" max="7" width="12.77734375" customWidth="1"/>
    <col min="8" max="8" width="9.77734375" customWidth="1"/>
    <col min="9" max="9" width="11" customWidth="1"/>
  </cols>
  <sheetData>
    <row r="2" spans="1:3" ht="23.4">
      <c r="A2" s="125" t="s">
        <v>305</v>
      </c>
      <c r="C2" s="2"/>
    </row>
    <row r="3" spans="1:3" ht="15" thickBot="1">
      <c r="B3" s="7"/>
      <c r="C3" s="2"/>
    </row>
    <row r="4" spans="1:3">
      <c r="B4" s="253" t="s">
        <v>306</v>
      </c>
      <c r="C4" s="135" t="s">
        <v>307</v>
      </c>
    </row>
    <row r="5" spans="1:3">
      <c r="B5" s="254"/>
      <c r="C5" s="136" t="s">
        <v>308</v>
      </c>
    </row>
    <row r="6" spans="1:3">
      <c r="B6" s="254"/>
      <c r="C6" s="136" t="s">
        <v>309</v>
      </c>
    </row>
    <row r="7" spans="1:3" ht="15" thickBot="1">
      <c r="B7" s="255"/>
      <c r="C7" s="137" t="s">
        <v>310</v>
      </c>
    </row>
    <row r="8" spans="1:3">
      <c r="B8" s="256" t="s">
        <v>314</v>
      </c>
      <c r="C8" s="138" t="s">
        <v>315</v>
      </c>
    </row>
    <row r="9" spans="1:3">
      <c r="B9" s="254"/>
      <c r="C9" s="136" t="s">
        <v>316</v>
      </c>
    </row>
    <row r="10" spans="1:3" ht="15" thickBot="1">
      <c r="B10" s="257"/>
      <c r="C10" s="139" t="s">
        <v>317</v>
      </c>
    </row>
    <row r="11" spans="1:3">
      <c r="B11" s="253" t="s">
        <v>318</v>
      </c>
      <c r="C11" s="135" t="s">
        <v>319</v>
      </c>
    </row>
    <row r="12" spans="1:3">
      <c r="B12" s="254"/>
      <c r="C12" s="136" t="s">
        <v>320</v>
      </c>
    </row>
    <row r="13" spans="1:3">
      <c r="B13" s="254"/>
      <c r="C13" s="136" t="s">
        <v>321</v>
      </c>
    </row>
    <row r="14" spans="1:3" ht="15" thickBot="1">
      <c r="B14" s="255"/>
      <c r="C14" s="137" t="s">
        <v>322</v>
      </c>
    </row>
    <row r="16" spans="1:3" ht="23.4">
      <c r="A16" s="125" t="s">
        <v>1964</v>
      </c>
    </row>
    <row r="17" spans="2:3">
      <c r="B17" t="s">
        <v>1831</v>
      </c>
    </row>
    <row r="18" spans="2:3">
      <c r="B18" t="s">
        <v>1832</v>
      </c>
    </row>
    <row r="19" spans="2:3">
      <c r="C19" t="s">
        <v>1834</v>
      </c>
    </row>
    <row r="20" spans="2:3">
      <c r="C20" t="s">
        <v>1833</v>
      </c>
    </row>
    <row r="21" spans="2:3">
      <c r="C21" t="s">
        <v>1835</v>
      </c>
    </row>
    <row r="22" spans="2:3">
      <c r="C22" t="s">
        <v>1836</v>
      </c>
    </row>
    <row r="24" spans="2:3" ht="18">
      <c r="B24" s="73" t="s">
        <v>1837</v>
      </c>
    </row>
    <row r="26" spans="2:3" ht="15.6">
      <c r="B26" s="107" t="s">
        <v>1838</v>
      </c>
    </row>
    <row r="27" spans="2:3" ht="28.8">
      <c r="B27" s="32" t="s">
        <v>1839</v>
      </c>
      <c r="C27" t="s">
        <v>1840</v>
      </c>
    </row>
    <row r="28" spans="2:3">
      <c r="C28" t="s">
        <v>1841</v>
      </c>
    </row>
    <row r="29" spans="2:3">
      <c r="C29" t="s">
        <v>1842</v>
      </c>
    </row>
    <row r="30" spans="2:3">
      <c r="C30" t="s">
        <v>1843</v>
      </c>
    </row>
    <row r="31" spans="2:3">
      <c r="C31" t="s">
        <v>1844</v>
      </c>
    </row>
    <row r="32" spans="2:3">
      <c r="C32" t="s">
        <v>1845</v>
      </c>
    </row>
    <row r="34" spans="2:4" ht="15.6">
      <c r="B34" s="107" t="s">
        <v>1846</v>
      </c>
    </row>
    <row r="35" spans="2:4">
      <c r="B35" t="s">
        <v>1847</v>
      </c>
      <c r="C35" t="s">
        <v>1848</v>
      </c>
      <c r="D35" s="258" t="s">
        <v>2025</v>
      </c>
    </row>
    <row r="36" spans="2:4">
      <c r="C36" t="s">
        <v>1849</v>
      </c>
      <c r="D36" s="259"/>
    </row>
    <row r="37" spans="2:4">
      <c r="C37" t="s">
        <v>1850</v>
      </c>
      <c r="D37" s="259"/>
    </row>
    <row r="38" spans="2:4">
      <c r="C38" t="s">
        <v>1851</v>
      </c>
      <c r="D38" s="259"/>
    </row>
    <row r="40" spans="2:4" ht="15.6">
      <c r="B40" s="107" t="s">
        <v>1852</v>
      </c>
    </row>
    <row r="41" spans="2:4">
      <c r="C41" t="s">
        <v>1858</v>
      </c>
    </row>
    <row r="42" spans="2:4">
      <c r="C42" t="s">
        <v>1853</v>
      </c>
    </row>
    <row r="43" spans="2:4">
      <c r="C43" t="s">
        <v>1854</v>
      </c>
    </row>
    <row r="44" spans="2:4">
      <c r="C44" t="s">
        <v>1855</v>
      </c>
    </row>
    <row r="45" spans="2:4">
      <c r="C45" t="s">
        <v>1856</v>
      </c>
    </row>
    <row r="46" spans="2:4">
      <c r="C46" t="s">
        <v>1859</v>
      </c>
    </row>
    <row r="47" spans="2:4">
      <c r="C47" t="s">
        <v>1860</v>
      </c>
    </row>
    <row r="48" spans="2:4">
      <c r="C48" t="s">
        <v>1857</v>
      </c>
    </row>
    <row r="50" spans="2:3" ht="15.6">
      <c r="B50" s="107" t="s">
        <v>1861</v>
      </c>
    </row>
    <row r="51" spans="2:3" ht="28.8">
      <c r="B51" s="32" t="s">
        <v>1862</v>
      </c>
      <c r="C51" t="s">
        <v>1863</v>
      </c>
    </row>
    <row r="52" spans="2:3">
      <c r="C52" t="s">
        <v>1864</v>
      </c>
    </row>
    <row r="53" spans="2:3">
      <c r="C53" t="s">
        <v>1865</v>
      </c>
    </row>
    <row r="54" spans="2:3">
      <c r="C54" t="s">
        <v>1866</v>
      </c>
    </row>
    <row r="55" spans="2:3">
      <c r="C55" t="s">
        <v>1867</v>
      </c>
    </row>
    <row r="56" spans="2:3">
      <c r="C56" t="s">
        <v>1868</v>
      </c>
    </row>
    <row r="57" spans="2:3">
      <c r="C57" t="s">
        <v>1869</v>
      </c>
    </row>
    <row r="58" spans="2:3">
      <c r="C58" t="s">
        <v>1870</v>
      </c>
    </row>
    <row r="60" spans="2:3" ht="15.6">
      <c r="B60" s="107" t="s">
        <v>1871</v>
      </c>
      <c r="C60" t="s">
        <v>1872</v>
      </c>
    </row>
    <row r="61" spans="2:3">
      <c r="C61" t="s">
        <v>1873</v>
      </c>
    </row>
    <row r="62" spans="2:3">
      <c r="C62" t="s">
        <v>1874</v>
      </c>
    </row>
    <row r="63" spans="2:3">
      <c r="C63" t="s">
        <v>1875</v>
      </c>
    </row>
    <row r="64" spans="2:3" ht="43.2">
      <c r="C64" s="32" t="s">
        <v>1880</v>
      </c>
    </row>
    <row r="66" spans="2:3" ht="15.6">
      <c r="B66" s="107" t="s">
        <v>1800</v>
      </c>
    </row>
    <row r="68" spans="2:3" ht="28.8">
      <c r="B68" s="107" t="s">
        <v>1876</v>
      </c>
      <c r="C68" s="32" t="s">
        <v>1877</v>
      </c>
    </row>
    <row r="69" spans="2:3" ht="28.8">
      <c r="C69" s="32" t="s">
        <v>1878</v>
      </c>
    </row>
    <row r="70" spans="2:3" ht="72">
      <c r="C70" s="32" t="s">
        <v>1879</v>
      </c>
    </row>
    <row r="72" spans="2:3">
      <c r="B72" t="s">
        <v>1881</v>
      </c>
    </row>
    <row r="74" spans="2:3">
      <c r="B74" t="s">
        <v>1882</v>
      </c>
      <c r="C74" t="s">
        <v>1883</v>
      </c>
    </row>
    <row r="75" spans="2:3">
      <c r="C75" t="s">
        <v>1884</v>
      </c>
    </row>
    <row r="76" spans="2:3">
      <c r="C76" t="s">
        <v>1885</v>
      </c>
    </row>
    <row r="78" spans="2:3" ht="28.8">
      <c r="B78" t="s">
        <v>1886</v>
      </c>
      <c r="C78" s="32" t="s">
        <v>1887</v>
      </c>
    </row>
    <row r="79" spans="2:3" ht="28.8">
      <c r="C79" s="32" t="s">
        <v>1888</v>
      </c>
    </row>
    <row r="80" spans="2:3" ht="43.2">
      <c r="C80" s="32" t="s">
        <v>1889</v>
      </c>
    </row>
    <row r="81" spans="2:3" ht="28.8">
      <c r="C81" s="32" t="s">
        <v>1890</v>
      </c>
    </row>
    <row r="82" spans="2:3" ht="28.8">
      <c r="C82" s="32" t="s">
        <v>1891</v>
      </c>
    </row>
    <row r="84" spans="2:3" ht="28.8">
      <c r="B84" t="s">
        <v>1892</v>
      </c>
      <c r="C84" s="32" t="s">
        <v>1893</v>
      </c>
    </row>
    <row r="85" spans="2:3" ht="28.8">
      <c r="C85" s="32" t="s">
        <v>1894</v>
      </c>
    </row>
    <row r="86" spans="2:3" ht="28.8">
      <c r="C86" s="32" t="s">
        <v>1895</v>
      </c>
    </row>
    <row r="87" spans="2:3" ht="28.8">
      <c r="C87" s="32" t="s">
        <v>1896</v>
      </c>
    </row>
    <row r="88" spans="2:3" ht="28.8">
      <c r="C88" s="32" t="s">
        <v>1897</v>
      </c>
    </row>
    <row r="89" spans="2:3" ht="28.8">
      <c r="C89" s="32" t="s">
        <v>1898</v>
      </c>
    </row>
    <row r="91" spans="2:3">
      <c r="B91" t="s">
        <v>1899</v>
      </c>
    </row>
    <row r="95" spans="2:3">
      <c r="B95" t="s">
        <v>1706</v>
      </c>
    </row>
    <row r="96" spans="2:3" ht="72">
      <c r="C96" s="32" t="s">
        <v>1830</v>
      </c>
    </row>
    <row r="98" spans="1:4" ht="23.4">
      <c r="A98" s="126" t="s">
        <v>1680</v>
      </c>
    </row>
    <row r="99" spans="1:4">
      <c r="B99" t="s">
        <v>1681</v>
      </c>
    </row>
    <row r="100" spans="1:4" ht="15.6">
      <c r="B100" s="107" t="s">
        <v>1920</v>
      </c>
      <c r="C100" t="s">
        <v>1921</v>
      </c>
    </row>
    <row r="101" spans="1:4" ht="15.6">
      <c r="B101" s="107"/>
    </row>
    <row r="102" spans="1:4" ht="15.6">
      <c r="B102" s="107" t="s">
        <v>1922</v>
      </c>
      <c r="C102" t="s">
        <v>1923</v>
      </c>
    </row>
    <row r="103" spans="1:4" ht="15.6">
      <c r="B103" s="107"/>
      <c r="C103" s="119" t="s">
        <v>1682</v>
      </c>
      <c r="D103" s="120">
        <v>0</v>
      </c>
    </row>
    <row r="104" spans="1:4" ht="15.6">
      <c r="B104" s="107"/>
      <c r="C104" s="119" t="s">
        <v>1683</v>
      </c>
      <c r="D104" s="120">
        <v>1</v>
      </c>
    </row>
    <row r="105" spans="1:4" ht="15.6">
      <c r="B105" s="107"/>
      <c r="C105" s="119" t="s">
        <v>1926</v>
      </c>
      <c r="D105" s="120">
        <v>3</v>
      </c>
    </row>
    <row r="106" spans="1:4" ht="15.6">
      <c r="B106" s="107"/>
      <c r="C106" s="119" t="s">
        <v>1684</v>
      </c>
      <c r="D106" s="120">
        <v>5</v>
      </c>
    </row>
    <row r="107" spans="1:4" ht="15.6">
      <c r="B107" s="107"/>
    </row>
    <row r="108" spans="1:4" ht="15.6">
      <c r="B108" s="107" t="s">
        <v>1924</v>
      </c>
      <c r="C108" t="s">
        <v>1925</v>
      </c>
    </row>
    <row r="109" spans="1:4" ht="15.6">
      <c r="B109" s="107"/>
      <c r="C109" s="119" t="s">
        <v>1685</v>
      </c>
      <c r="D109" s="120">
        <v>0</v>
      </c>
    </row>
    <row r="110" spans="1:4" ht="15.6">
      <c r="B110" s="107"/>
      <c r="C110" s="119" t="s">
        <v>1683</v>
      </c>
      <c r="D110" s="120">
        <v>1</v>
      </c>
    </row>
    <row r="111" spans="1:4" ht="15.6">
      <c r="B111" s="107"/>
      <c r="C111" s="119" t="s">
        <v>1693</v>
      </c>
      <c r="D111" s="120">
        <v>3</v>
      </c>
    </row>
    <row r="112" spans="1:4" ht="15.6">
      <c r="B112" s="107"/>
      <c r="C112" s="119" t="s">
        <v>1684</v>
      </c>
      <c r="D112" s="120">
        <v>6</v>
      </c>
    </row>
    <row r="113" spans="2:6" ht="15.6">
      <c r="B113" s="107"/>
      <c r="C113" s="119"/>
      <c r="D113" s="120"/>
    </row>
    <row r="114" spans="2:6" ht="15.6">
      <c r="B114" s="140" t="s">
        <v>1686</v>
      </c>
    </row>
    <row r="116" spans="2:6" ht="15.6">
      <c r="B116" s="107" t="s">
        <v>1687</v>
      </c>
    </row>
    <row r="117" spans="2:6">
      <c r="B117" t="s">
        <v>1688</v>
      </c>
    </row>
    <row r="119" spans="2:6">
      <c r="B119" t="s">
        <v>1689</v>
      </c>
    </row>
    <row r="121" spans="2:6">
      <c r="B121" s="46" t="s">
        <v>1690</v>
      </c>
      <c r="C121" s="46"/>
      <c r="D121" s="46"/>
      <c r="E121" s="46" t="s">
        <v>1691</v>
      </c>
    </row>
    <row r="122" spans="2:6">
      <c r="B122" s="45" t="s">
        <v>1685</v>
      </c>
      <c r="C122" s="120">
        <v>0</v>
      </c>
      <c r="E122" s="45" t="s">
        <v>1685</v>
      </c>
      <c r="F122" s="120">
        <v>0</v>
      </c>
    </row>
    <row r="123" spans="2:6">
      <c r="B123" s="45" t="s">
        <v>1692</v>
      </c>
      <c r="C123" s="120">
        <v>0.25</v>
      </c>
      <c r="E123" s="45" t="s">
        <v>1692</v>
      </c>
      <c r="F123" s="120">
        <v>0.25</v>
      </c>
    </row>
    <row r="124" spans="2:6">
      <c r="B124" s="45" t="s">
        <v>1693</v>
      </c>
      <c r="C124" s="120">
        <v>0.5</v>
      </c>
      <c r="E124" s="45" t="s">
        <v>1693</v>
      </c>
      <c r="F124" s="120">
        <v>0.5</v>
      </c>
    </row>
    <row r="125" spans="2:6">
      <c r="B125" s="45" t="s">
        <v>1694</v>
      </c>
      <c r="C125" s="120">
        <v>0.75</v>
      </c>
      <c r="E125" s="45" t="s">
        <v>1694</v>
      </c>
      <c r="F125" s="120">
        <v>0.75</v>
      </c>
    </row>
    <row r="126" spans="2:6">
      <c r="B126" s="45" t="s">
        <v>1695</v>
      </c>
      <c r="C126" s="120">
        <v>1</v>
      </c>
      <c r="E126" s="45" t="s">
        <v>1695</v>
      </c>
      <c r="F126" s="120">
        <v>1</v>
      </c>
    </row>
    <row r="128" spans="2:6" ht="15.6">
      <c r="B128" s="140" t="s">
        <v>1696</v>
      </c>
    </row>
    <row r="130" spans="2:8">
      <c r="B130" t="s">
        <v>1697</v>
      </c>
    </row>
    <row r="131" spans="2:8">
      <c r="C131" t="s">
        <v>1698</v>
      </c>
    </row>
    <row r="132" spans="2:8">
      <c r="C132" t="s">
        <v>1699</v>
      </c>
    </row>
    <row r="133" spans="2:8">
      <c r="C133" t="s">
        <v>1700</v>
      </c>
    </row>
    <row r="134" spans="2:8">
      <c r="C134" t="s">
        <v>1701</v>
      </c>
    </row>
    <row r="137" spans="2:8" ht="18">
      <c r="B137" s="73" t="s">
        <v>2026</v>
      </c>
    </row>
    <row r="138" spans="2:8" ht="15" thickBot="1"/>
    <row r="139" spans="2:8">
      <c r="B139" s="260" t="s">
        <v>2027</v>
      </c>
      <c r="C139" s="261"/>
      <c r="D139" s="261"/>
      <c r="E139" s="261"/>
      <c r="F139" s="261"/>
      <c r="G139" s="261"/>
      <c r="H139" s="262"/>
    </row>
    <row r="140" spans="2:8">
      <c r="B140" s="148"/>
      <c r="C140" s="147" t="s">
        <v>2028</v>
      </c>
      <c r="D140" s="147" t="s">
        <v>2029</v>
      </c>
      <c r="E140" s="147" t="s">
        <v>2030</v>
      </c>
      <c r="F140" s="147" t="s">
        <v>2031</v>
      </c>
      <c r="G140" s="147" t="s">
        <v>2032</v>
      </c>
      <c r="H140" s="149" t="s">
        <v>2035</v>
      </c>
    </row>
    <row r="141" spans="2:8">
      <c r="B141" s="148" t="s">
        <v>2033</v>
      </c>
      <c r="C141" s="19">
        <v>5</v>
      </c>
      <c r="D141" s="19">
        <v>8</v>
      </c>
      <c r="E141" s="19">
        <v>13</v>
      </c>
      <c r="F141" s="19">
        <v>21</v>
      </c>
      <c r="G141" s="19">
        <v>29</v>
      </c>
      <c r="H141" s="150"/>
    </row>
    <row r="142" spans="2:8">
      <c r="B142" s="148" t="s">
        <v>2034</v>
      </c>
      <c r="C142" s="19">
        <v>10</v>
      </c>
      <c r="D142" s="19">
        <v>24</v>
      </c>
      <c r="E142" s="19">
        <v>51</v>
      </c>
      <c r="F142" s="19">
        <v>10</v>
      </c>
      <c r="G142" s="19">
        <v>5</v>
      </c>
      <c r="H142" s="150">
        <f>SUM(C142:G142)</f>
        <v>100</v>
      </c>
    </row>
    <row r="143" spans="2:8">
      <c r="B143" s="148"/>
      <c r="C143" s="19"/>
      <c r="D143" s="19"/>
      <c r="E143" s="19"/>
      <c r="F143" s="19"/>
      <c r="G143" s="19"/>
      <c r="H143" s="150"/>
    </row>
    <row r="144" spans="2:8">
      <c r="B144" s="148" t="s">
        <v>2042</v>
      </c>
      <c r="C144" s="19">
        <f>C142*C141</f>
        <v>50</v>
      </c>
      <c r="D144" s="19">
        <f t="shared" ref="D144:G144" si="0">D142*D141</f>
        <v>192</v>
      </c>
      <c r="E144" s="19">
        <f t="shared" si="0"/>
        <v>663</v>
      </c>
      <c r="F144" s="19">
        <f t="shared" si="0"/>
        <v>210</v>
      </c>
      <c r="G144" s="19">
        <f t="shared" si="0"/>
        <v>145</v>
      </c>
      <c r="H144" s="150">
        <f>SUM(C144:G144)</f>
        <v>1260</v>
      </c>
    </row>
    <row r="145" spans="2:8">
      <c r="B145" s="141"/>
      <c r="H145" s="142"/>
    </row>
    <row r="146" spans="2:8">
      <c r="B146" s="250" t="s">
        <v>2036</v>
      </c>
      <c r="C146" s="251"/>
      <c r="D146" s="251"/>
      <c r="E146" s="251"/>
      <c r="F146" s="251"/>
      <c r="G146" s="251"/>
      <c r="H146" s="252"/>
    </row>
    <row r="147" spans="2:8">
      <c r="B147" s="148"/>
      <c r="C147" s="147" t="s">
        <v>2028</v>
      </c>
      <c r="D147" s="147" t="s">
        <v>2029</v>
      </c>
      <c r="E147" s="147" t="s">
        <v>2030</v>
      </c>
      <c r="F147" s="147" t="s">
        <v>2031</v>
      </c>
      <c r="G147" s="147" t="s">
        <v>2032</v>
      </c>
      <c r="H147" s="149" t="s">
        <v>2035</v>
      </c>
    </row>
    <row r="148" spans="2:8">
      <c r="B148" s="148" t="s">
        <v>2037</v>
      </c>
      <c r="C148" s="19">
        <v>2</v>
      </c>
      <c r="D148" s="19">
        <v>5</v>
      </c>
      <c r="E148" s="19">
        <v>3</v>
      </c>
      <c r="F148" s="19">
        <v>6</v>
      </c>
      <c r="G148" s="19">
        <v>8</v>
      </c>
      <c r="H148" s="150"/>
    </row>
    <row r="149" spans="2:8">
      <c r="B149" s="148" t="s">
        <v>2038</v>
      </c>
      <c r="C149" s="19">
        <v>2</v>
      </c>
      <c r="D149" s="19">
        <v>4</v>
      </c>
      <c r="E149" s="19">
        <v>4</v>
      </c>
      <c r="F149" s="19">
        <v>6</v>
      </c>
      <c r="G149" s="19">
        <v>8</v>
      </c>
      <c r="H149" s="150"/>
    </row>
    <row r="150" spans="2:8">
      <c r="B150" s="148" t="s">
        <v>2039</v>
      </c>
      <c r="C150" s="19">
        <v>2</v>
      </c>
      <c r="D150" s="19">
        <v>3</v>
      </c>
      <c r="E150" s="19">
        <v>5</v>
      </c>
      <c r="F150" s="19">
        <v>6</v>
      </c>
      <c r="G150" s="19">
        <v>8</v>
      </c>
      <c r="H150" s="150"/>
    </row>
    <row r="151" spans="2:8">
      <c r="B151" s="148" t="s">
        <v>2040</v>
      </c>
      <c r="C151" s="19">
        <v>2</v>
      </c>
      <c r="D151" s="19">
        <v>10</v>
      </c>
      <c r="E151" s="19">
        <v>14</v>
      </c>
      <c r="F151" s="19">
        <v>11</v>
      </c>
      <c r="G151" s="19">
        <v>13</v>
      </c>
      <c r="H151" s="150"/>
    </row>
    <row r="152" spans="2:8">
      <c r="B152" s="148"/>
      <c r="C152" s="19"/>
      <c r="D152" s="19"/>
      <c r="E152" s="19"/>
      <c r="F152" s="19"/>
      <c r="G152" s="19"/>
      <c r="H152" s="150"/>
    </row>
    <row r="153" spans="2:8">
      <c r="B153" s="148" t="s">
        <v>2041</v>
      </c>
      <c r="C153" s="19">
        <f>SUM(C148:C151) *C142</f>
        <v>80</v>
      </c>
      <c r="D153" s="19">
        <f t="shared" ref="D153:G153" si="1">SUM(D148:D151) *D142</f>
        <v>528</v>
      </c>
      <c r="E153" s="19">
        <f t="shared" si="1"/>
        <v>1326</v>
      </c>
      <c r="F153" s="19">
        <f t="shared" si="1"/>
        <v>290</v>
      </c>
      <c r="G153" s="19">
        <f t="shared" si="1"/>
        <v>185</v>
      </c>
      <c r="H153" s="150">
        <f>SUM(C153:G153)</f>
        <v>2409</v>
      </c>
    </row>
    <row r="154" spans="2:8">
      <c r="B154" s="141"/>
      <c r="H154" s="142"/>
    </row>
    <row r="155" spans="2:8">
      <c r="B155" s="250" t="s">
        <v>2043</v>
      </c>
      <c r="C155" s="251"/>
      <c r="D155" s="251"/>
      <c r="E155" s="251"/>
      <c r="F155" s="251"/>
      <c r="G155" s="251"/>
      <c r="H155" s="252"/>
    </row>
    <row r="156" spans="2:8">
      <c r="B156" s="151"/>
      <c r="C156" s="145"/>
      <c r="H156" s="142"/>
    </row>
    <row r="157" spans="2:8">
      <c r="B157" s="148" t="s">
        <v>2044</v>
      </c>
      <c r="C157" s="19">
        <v>40</v>
      </c>
      <c r="H157" s="142"/>
    </row>
    <row r="158" spans="2:8">
      <c r="B158" s="148" t="s">
        <v>2045</v>
      </c>
      <c r="C158" s="19">
        <v>80</v>
      </c>
      <c r="H158" s="142"/>
    </row>
    <row r="159" spans="2:8">
      <c r="B159" s="148" t="s">
        <v>2046</v>
      </c>
      <c r="C159" s="19">
        <v>32</v>
      </c>
      <c r="H159" s="142"/>
    </row>
    <row r="160" spans="2:8">
      <c r="B160" s="141"/>
      <c r="H160" s="142"/>
    </row>
    <row r="161" spans="1:8">
      <c r="B161" s="148" t="s">
        <v>2047</v>
      </c>
      <c r="C161" s="19">
        <f>SUM(C157:C159) + H153 + H144</f>
        <v>3821</v>
      </c>
      <c r="H161" s="142"/>
    </row>
    <row r="162" spans="1:8">
      <c r="B162" s="148" t="s">
        <v>2048</v>
      </c>
      <c r="C162" s="19">
        <f>C161/8</f>
        <v>477.625</v>
      </c>
      <c r="H162" s="142"/>
    </row>
    <row r="163" spans="1:8">
      <c r="B163" s="148" t="s">
        <v>2049</v>
      </c>
      <c r="C163" s="19">
        <f>H144/8</f>
        <v>157.5</v>
      </c>
      <c r="H163" s="142"/>
    </row>
    <row r="164" spans="1:8">
      <c r="B164" s="148" t="s">
        <v>2050</v>
      </c>
      <c r="C164" s="19">
        <v>2</v>
      </c>
      <c r="H164" s="142"/>
    </row>
    <row r="165" spans="1:8" ht="15" thickBot="1">
      <c r="B165" s="152" t="s">
        <v>2051</v>
      </c>
      <c r="C165" s="153">
        <f>C162/C164</f>
        <v>238.8125</v>
      </c>
      <c r="D165" s="143"/>
      <c r="E165" s="143"/>
      <c r="F165" s="143"/>
      <c r="G165" s="143"/>
      <c r="H165" s="144"/>
    </row>
    <row r="167" spans="1:8" ht="23.4">
      <c r="A167" s="126" t="s">
        <v>1965</v>
      </c>
    </row>
    <row r="169" spans="1:8" ht="18">
      <c r="B169" s="73" t="s">
        <v>1966</v>
      </c>
      <c r="C169" s="107" t="s">
        <v>1867</v>
      </c>
      <c r="D169" s="107" t="s">
        <v>1970</v>
      </c>
    </row>
    <row r="171" spans="1:8">
      <c r="C171" s="32" t="s">
        <v>1969</v>
      </c>
      <c r="D171" t="s">
        <v>1971</v>
      </c>
    </row>
    <row r="172" spans="1:8" ht="28.8">
      <c r="C172" s="32" t="s">
        <v>1967</v>
      </c>
      <c r="D172" t="s">
        <v>1972</v>
      </c>
    </row>
    <row r="173" spans="1:8">
      <c r="C173" s="32" t="s">
        <v>1968</v>
      </c>
      <c r="D173" t="s">
        <v>1973</v>
      </c>
    </row>
    <row r="175" spans="1:8">
      <c r="B175" s="122" t="s">
        <v>1974</v>
      </c>
      <c r="C175" t="s">
        <v>2122</v>
      </c>
    </row>
  </sheetData>
  <mergeCells count="7">
    <mergeCell ref="B155:H155"/>
    <mergeCell ref="B4:B7"/>
    <mergeCell ref="B8:B10"/>
    <mergeCell ref="B11:B14"/>
    <mergeCell ref="D35:D38"/>
    <mergeCell ref="B146:H146"/>
    <mergeCell ref="B139:H13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9"/>
  <sheetViews>
    <sheetView tabSelected="1" topLeftCell="A2" zoomScale="120" zoomScaleNormal="120" workbookViewId="0">
      <selection activeCell="B5" sqref="A1:XFD1048576"/>
    </sheetView>
  </sheetViews>
  <sheetFormatPr defaultRowHeight="14.4"/>
  <cols>
    <col min="1" max="1" width="7.77734375" style="1" customWidth="1"/>
    <col min="2" max="2" width="41.6640625" style="2" bestFit="1" customWidth="1"/>
    <col min="3" max="3" width="75.33203125" style="2" bestFit="1" customWidth="1"/>
  </cols>
  <sheetData>
    <row r="1" spans="1:12" ht="21">
      <c r="A1" s="4" t="s">
        <v>49</v>
      </c>
      <c r="B1" s="5" t="s">
        <v>50</v>
      </c>
      <c r="C1" s="5" t="s">
        <v>51</v>
      </c>
      <c r="D1" s="5"/>
      <c r="E1" s="5"/>
      <c r="F1" s="5"/>
      <c r="G1" s="5"/>
      <c r="H1" s="5"/>
      <c r="I1" s="5"/>
      <c r="J1" s="5"/>
      <c r="K1" s="5"/>
      <c r="L1" s="6"/>
    </row>
    <row r="2" spans="1:12">
      <c r="A2" s="3"/>
    </row>
    <row r="3" spans="1:12" ht="28.8">
      <c r="A3" s="3"/>
      <c r="B3" s="68" t="s">
        <v>2819</v>
      </c>
    </row>
    <row r="4" spans="1:12">
      <c r="A4" s="3"/>
      <c r="B4" s="2" t="s">
        <v>2820</v>
      </c>
    </row>
    <row r="5" spans="1:12">
      <c r="A5" s="3"/>
    </row>
    <row r="6" spans="1:12">
      <c r="A6" s="3"/>
    </row>
    <row r="7" spans="1:12">
      <c r="A7" s="3"/>
    </row>
    <row r="8" spans="1:12">
      <c r="A8" s="3"/>
    </row>
    <row r="9" spans="1:12">
      <c r="A9" s="3"/>
    </row>
    <row r="10" spans="1:12">
      <c r="A10" s="3"/>
    </row>
    <row r="11" spans="1:12">
      <c r="A11" s="3"/>
    </row>
    <row r="12" spans="1:12">
      <c r="A12" s="3"/>
    </row>
    <row r="13" spans="1:12">
      <c r="A13" s="3"/>
    </row>
    <row r="14" spans="1:12" ht="45" customHeight="1">
      <c r="A14" s="3"/>
      <c r="B14" s="228"/>
    </row>
    <row r="15" spans="1:12">
      <c r="A15" s="3"/>
      <c r="B15" s="228"/>
    </row>
    <row r="16" spans="1:12">
      <c r="A16" s="3"/>
      <c r="B16" s="228"/>
    </row>
    <row r="17" spans="1:2">
      <c r="A17" s="3"/>
      <c r="B17" s="228"/>
    </row>
    <row r="18" spans="1:2">
      <c r="A18" s="3"/>
    </row>
    <row r="19" spans="1:2">
      <c r="A19" s="3"/>
    </row>
    <row r="20" spans="1:2">
      <c r="A20" s="3"/>
      <c r="B20" s="228"/>
    </row>
    <row r="21" spans="1:2">
      <c r="A21" s="3"/>
      <c r="B21" s="228"/>
    </row>
    <row r="22" spans="1:2">
      <c r="A22" s="3"/>
      <c r="B22" s="228"/>
    </row>
    <row r="23" spans="1:2">
      <c r="A23" s="3"/>
      <c r="B23" s="228"/>
    </row>
    <row r="24" spans="1:2">
      <c r="A24" s="3"/>
    </row>
    <row r="25" spans="1:2">
      <c r="A25" s="3"/>
    </row>
    <row r="26" spans="1:2">
      <c r="A26" s="3"/>
    </row>
    <row r="27" spans="1:2" ht="33.75" customHeight="1">
      <c r="A27" s="3"/>
      <c r="B27" s="228"/>
    </row>
    <row r="28" spans="1:2">
      <c r="A28" s="3"/>
      <c r="B28" s="228"/>
    </row>
    <row r="29" spans="1:2">
      <c r="A29" s="3"/>
      <c r="B29" s="228"/>
    </row>
    <row r="30" spans="1:2">
      <c r="A30" s="3"/>
      <c r="B30" s="228"/>
    </row>
    <row r="31" spans="1:2">
      <c r="A31" s="3"/>
      <c r="B31" s="228"/>
    </row>
    <row r="32" spans="1:2">
      <c r="A32" s="3"/>
      <c r="B32" s="228"/>
    </row>
    <row r="33" spans="1:2">
      <c r="A33" s="3"/>
      <c r="B33" s="228"/>
    </row>
    <row r="34" spans="1:2">
      <c r="A34" s="3"/>
      <c r="B34" s="228"/>
    </row>
    <row r="35" spans="1:2">
      <c r="A35" s="3"/>
      <c r="B35" s="228"/>
    </row>
    <row r="36" spans="1:2">
      <c r="A36" s="3"/>
      <c r="B36" s="228"/>
    </row>
    <row r="37" spans="1:2">
      <c r="A37" s="3"/>
      <c r="B37" s="228"/>
    </row>
    <row r="38" spans="1:2">
      <c r="A38" s="3"/>
      <c r="B38" s="228"/>
    </row>
    <row r="39" spans="1:2">
      <c r="A39" s="3"/>
      <c r="B39" s="228"/>
    </row>
    <row r="40" spans="1:2">
      <c r="A40" s="3"/>
      <c r="B40" s="228"/>
    </row>
    <row r="41" spans="1:2">
      <c r="A41" s="3"/>
      <c r="B41" s="228"/>
    </row>
    <row r="42" spans="1:2">
      <c r="A42" s="3"/>
    </row>
    <row r="43" spans="1:2">
      <c r="A43" s="3"/>
    </row>
    <row r="44" spans="1:2">
      <c r="A44" s="3"/>
    </row>
    <row r="45" spans="1:2">
      <c r="A45" s="3"/>
    </row>
    <row r="46" spans="1:2">
      <c r="A46" s="3"/>
    </row>
    <row r="47" spans="1:2">
      <c r="A47" s="3"/>
    </row>
    <row r="48" spans="1:2">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sheetData>
  <mergeCells count="8">
    <mergeCell ref="B33:B38"/>
    <mergeCell ref="B39:B41"/>
    <mergeCell ref="B14:B15"/>
    <mergeCell ref="B16:B17"/>
    <mergeCell ref="B20:B23"/>
    <mergeCell ref="B27:B28"/>
    <mergeCell ref="B29:B30"/>
    <mergeCell ref="B31: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4"/>
  <sheetViews>
    <sheetView topLeftCell="A77" zoomScale="120" zoomScaleNormal="120" workbookViewId="0">
      <selection activeCell="C91" sqref="C91"/>
    </sheetView>
  </sheetViews>
  <sheetFormatPr defaultRowHeight="14.4"/>
  <cols>
    <col min="1" max="1" width="7.77734375" style="199" customWidth="1"/>
    <col min="2" max="2" width="41.6640625" style="199" bestFit="1" customWidth="1"/>
    <col min="3" max="3" width="67.21875" style="199" bestFit="1" customWidth="1"/>
    <col min="4" max="4" width="28.5546875" style="199" bestFit="1" customWidth="1"/>
    <col min="5" max="5" width="21.109375" style="199" customWidth="1"/>
    <col min="6" max="16384" width="8.88671875" style="199"/>
  </cols>
  <sheetData>
    <row r="1" spans="1:12" ht="21">
      <c r="A1" s="4" t="s">
        <v>49</v>
      </c>
      <c r="B1" s="5" t="s">
        <v>50</v>
      </c>
      <c r="C1" s="5" t="s">
        <v>51</v>
      </c>
      <c r="D1" s="5"/>
      <c r="E1" s="5"/>
      <c r="F1" s="5"/>
      <c r="G1" s="5"/>
      <c r="H1" s="5"/>
      <c r="I1" s="5"/>
      <c r="J1" s="5"/>
      <c r="K1" s="5"/>
      <c r="L1" s="6"/>
    </row>
    <row r="2" spans="1:12">
      <c r="A2" s="200">
        <v>1</v>
      </c>
      <c r="B2" s="201" t="s">
        <v>471</v>
      </c>
      <c r="C2" s="201" t="s">
        <v>472</v>
      </c>
    </row>
    <row r="3" spans="1:12">
      <c r="B3" s="199" t="s">
        <v>473</v>
      </c>
    </row>
    <row r="4" spans="1:12">
      <c r="B4" s="199" t="s">
        <v>1110</v>
      </c>
      <c r="C4" s="199" t="s">
        <v>1111</v>
      </c>
    </row>
    <row r="5" spans="1:12">
      <c r="C5" s="199" t="s">
        <v>1112</v>
      </c>
    </row>
    <row r="6" spans="1:12">
      <c r="C6" s="199" t="s">
        <v>1113</v>
      </c>
    </row>
    <row r="8" spans="1:12">
      <c r="B8" s="199" t="s">
        <v>1114</v>
      </c>
      <c r="C8" s="199" t="s">
        <v>1115</v>
      </c>
    </row>
    <row r="9" spans="1:12">
      <c r="B9" s="199" t="s">
        <v>1116</v>
      </c>
      <c r="C9" s="199" t="s">
        <v>1117</v>
      </c>
    </row>
    <row r="11" spans="1:12">
      <c r="B11" s="229" t="s">
        <v>1118</v>
      </c>
    </row>
    <row r="12" spans="1:12">
      <c r="B12" s="229"/>
      <c r="C12" s="199" t="s">
        <v>1119</v>
      </c>
      <c r="D12" s="199" t="s">
        <v>1120</v>
      </c>
    </row>
    <row r="13" spans="1:12">
      <c r="B13" s="229"/>
      <c r="C13" s="199" t="s">
        <v>1121</v>
      </c>
      <c r="D13" s="199" t="s">
        <v>1122</v>
      </c>
    </row>
    <row r="14" spans="1:12">
      <c r="B14" s="229"/>
      <c r="C14" s="199" t="s">
        <v>1123</v>
      </c>
      <c r="D14" s="202" t="s">
        <v>1124</v>
      </c>
    </row>
    <row r="15" spans="1:12">
      <c r="B15" s="229"/>
      <c r="C15" s="199" t="s">
        <v>1125</v>
      </c>
    </row>
    <row r="16" spans="1:12">
      <c r="B16" s="229"/>
      <c r="C16" s="199" t="s">
        <v>1126</v>
      </c>
    </row>
    <row r="17" spans="2:4">
      <c r="B17" s="229"/>
      <c r="C17" s="199" t="s">
        <v>1127</v>
      </c>
    </row>
    <row r="19" spans="2:4">
      <c r="B19" s="199" t="s">
        <v>1128</v>
      </c>
      <c r="C19" s="199" t="s">
        <v>1129</v>
      </c>
    </row>
    <row r="20" spans="2:4">
      <c r="B20" s="199" t="s">
        <v>1130</v>
      </c>
      <c r="C20" s="199" t="s">
        <v>1131</v>
      </c>
      <c r="D20" s="199" t="s">
        <v>1132</v>
      </c>
    </row>
    <row r="21" spans="2:4">
      <c r="B21" s="199" t="s">
        <v>1133</v>
      </c>
      <c r="C21" s="199" t="s">
        <v>2658</v>
      </c>
    </row>
    <row r="22" spans="2:4">
      <c r="B22" s="199" t="s">
        <v>1134</v>
      </c>
      <c r="C22" s="199" t="s">
        <v>2659</v>
      </c>
    </row>
    <row r="24" spans="2:4">
      <c r="B24" s="46" t="s">
        <v>1142</v>
      </c>
    </row>
    <row r="25" spans="2:4" ht="72">
      <c r="B25" s="199" t="s">
        <v>1143</v>
      </c>
      <c r="C25" s="203" t="s">
        <v>1144</v>
      </c>
    </row>
    <row r="26" spans="2:4">
      <c r="C26" s="203"/>
    </row>
    <row r="27" spans="2:4">
      <c r="B27" s="199" t="s">
        <v>142</v>
      </c>
      <c r="C27" s="199" t="s">
        <v>474</v>
      </c>
    </row>
    <row r="28" spans="2:4">
      <c r="B28" s="199" t="s">
        <v>478</v>
      </c>
      <c r="C28" s="199" t="s">
        <v>479</v>
      </c>
    </row>
    <row r="29" spans="2:4" ht="28.8">
      <c r="B29" s="199" t="s">
        <v>480</v>
      </c>
      <c r="C29" s="203" t="s">
        <v>481</v>
      </c>
    </row>
    <row r="30" spans="2:4" ht="18">
      <c r="D30" s="181" t="s">
        <v>1335</v>
      </c>
    </row>
    <row r="31" spans="2:4" ht="21">
      <c r="B31" s="128" t="s">
        <v>2563</v>
      </c>
      <c r="D31" s="184" t="s">
        <v>2568</v>
      </c>
    </row>
    <row r="32" spans="2:4">
      <c r="B32" s="199" t="s">
        <v>2564</v>
      </c>
      <c r="D32" s="184" t="s">
        <v>2570</v>
      </c>
    </row>
    <row r="33" spans="2:4" ht="18">
      <c r="B33" s="181" t="s">
        <v>2565</v>
      </c>
      <c r="C33" s="181" t="s">
        <v>2566</v>
      </c>
      <c r="D33" s="184" t="s">
        <v>2572</v>
      </c>
    </row>
    <row r="34" spans="2:4">
      <c r="B34" s="182" t="s">
        <v>2567</v>
      </c>
      <c r="C34" s="183" t="s">
        <v>2581</v>
      </c>
      <c r="D34" s="184" t="s">
        <v>2574</v>
      </c>
    </row>
    <row r="35" spans="2:4">
      <c r="B35" s="182" t="s">
        <v>2569</v>
      </c>
      <c r="C35" s="183" t="s">
        <v>2582</v>
      </c>
      <c r="D35" s="184" t="s">
        <v>2576</v>
      </c>
    </row>
    <row r="36" spans="2:4">
      <c r="B36" s="182" t="s">
        <v>2571</v>
      </c>
      <c r="C36" s="183" t="s">
        <v>2583</v>
      </c>
      <c r="D36" s="184" t="s">
        <v>2578</v>
      </c>
    </row>
    <row r="37" spans="2:4">
      <c r="B37" s="182" t="s">
        <v>2573</v>
      </c>
      <c r="C37" s="183" t="s">
        <v>2584</v>
      </c>
      <c r="D37" s="184" t="s">
        <v>2580</v>
      </c>
    </row>
    <row r="38" spans="2:4">
      <c r="B38" s="182" t="s">
        <v>2575</v>
      </c>
      <c r="C38" s="183" t="s">
        <v>2585</v>
      </c>
    </row>
    <row r="39" spans="2:4">
      <c r="B39" s="182" t="s">
        <v>2577</v>
      </c>
      <c r="C39" s="183" t="s">
        <v>2586</v>
      </c>
    </row>
    <row r="40" spans="2:4">
      <c r="B40" s="182" t="s">
        <v>2579</v>
      </c>
      <c r="C40" s="183" t="s">
        <v>2587</v>
      </c>
    </row>
    <row r="42" spans="2:4" ht="28.8">
      <c r="B42" s="46" t="s">
        <v>2588</v>
      </c>
      <c r="C42" s="185" t="s">
        <v>2589</v>
      </c>
    </row>
    <row r="43" spans="2:4">
      <c r="C43" s="186" t="s">
        <v>2590</v>
      </c>
    </row>
    <row r="44" spans="2:4">
      <c r="C44" s="186" t="s">
        <v>2591</v>
      </c>
    </row>
    <row r="46" spans="2:4" ht="18.600000000000001" thickBot="1">
      <c r="B46" s="187" t="s">
        <v>2592</v>
      </c>
    </row>
    <row r="47" spans="2:4" ht="18.600000000000001" thickBot="1">
      <c r="B47" s="195" t="s">
        <v>2593</v>
      </c>
      <c r="C47" s="192" t="s">
        <v>2594</v>
      </c>
      <c r="D47" s="191" t="s">
        <v>2595</v>
      </c>
    </row>
    <row r="48" spans="2:4" ht="15.6">
      <c r="B48" s="196" t="s">
        <v>2596</v>
      </c>
      <c r="C48" s="193" t="s">
        <v>2597</v>
      </c>
      <c r="D48" s="190" t="s">
        <v>2598</v>
      </c>
    </row>
    <row r="49" spans="2:4" ht="28.8">
      <c r="B49" s="197" t="s">
        <v>2599</v>
      </c>
      <c r="C49" s="194" t="s">
        <v>2600</v>
      </c>
      <c r="D49" s="189" t="s">
        <v>2601</v>
      </c>
    </row>
    <row r="50" spans="2:4" ht="43.2">
      <c r="B50" s="197" t="s">
        <v>2602</v>
      </c>
      <c r="C50" s="194" t="s">
        <v>2603</v>
      </c>
      <c r="D50" s="189" t="s">
        <v>2604</v>
      </c>
    </row>
    <row r="51" spans="2:4" ht="43.2">
      <c r="B51" s="197" t="s">
        <v>2605</v>
      </c>
      <c r="C51" s="194" t="s">
        <v>2606</v>
      </c>
      <c r="D51" s="189" t="s">
        <v>2607</v>
      </c>
    </row>
    <row r="52" spans="2:4" ht="43.2">
      <c r="B52" s="197" t="s">
        <v>2608</v>
      </c>
      <c r="C52" s="194" t="s">
        <v>2609</v>
      </c>
      <c r="D52" s="189" t="s">
        <v>2610</v>
      </c>
    </row>
    <row r="53" spans="2:4" ht="15.6">
      <c r="B53" s="197" t="s">
        <v>2611</v>
      </c>
      <c r="C53" s="194" t="s">
        <v>2612</v>
      </c>
      <c r="D53" s="189" t="s">
        <v>2613</v>
      </c>
    </row>
    <row r="54" spans="2:4" ht="15.6">
      <c r="B54" s="197" t="s">
        <v>2614</v>
      </c>
      <c r="C54" s="194" t="s">
        <v>2615</v>
      </c>
      <c r="D54" s="189" t="s">
        <v>2616</v>
      </c>
    </row>
    <row r="55" spans="2:4" ht="15" thickBot="1">
      <c r="B55" s="204"/>
      <c r="C55" s="205"/>
      <c r="D55" s="206"/>
    </row>
    <row r="57" spans="2:4" ht="15.6">
      <c r="B57" s="188" t="s">
        <v>671</v>
      </c>
    </row>
    <row r="58" spans="2:4">
      <c r="C58" s="207" t="s">
        <v>2660</v>
      </c>
    </row>
    <row r="59" spans="2:4">
      <c r="C59" s="207" t="s">
        <v>2661</v>
      </c>
    </row>
    <row r="60" spans="2:4">
      <c r="C60" s="207" t="s">
        <v>2662</v>
      </c>
    </row>
    <row r="61" spans="2:4">
      <c r="C61" s="207" t="s">
        <v>2663</v>
      </c>
    </row>
    <row r="62" spans="2:4">
      <c r="C62" s="207" t="s">
        <v>2664</v>
      </c>
    </row>
    <row r="63" spans="2:4">
      <c r="C63" s="207" t="s">
        <v>2665</v>
      </c>
    </row>
    <row r="65" spans="2:5" ht="16.2" thickBot="1">
      <c r="B65" s="188" t="s">
        <v>2617</v>
      </c>
    </row>
    <row r="66" spans="2:5" ht="18.600000000000001" thickBot="1">
      <c r="B66" s="195" t="s">
        <v>2565</v>
      </c>
      <c r="C66" s="192" t="s">
        <v>2566</v>
      </c>
      <c r="D66" s="191" t="s">
        <v>1335</v>
      </c>
      <c r="E66" s="191" t="s">
        <v>2618</v>
      </c>
    </row>
    <row r="67" spans="2:5" ht="15.6">
      <c r="B67" s="196" t="s">
        <v>2619</v>
      </c>
      <c r="C67" s="193" t="s">
        <v>2620</v>
      </c>
      <c r="D67" s="190" t="s">
        <v>2621</v>
      </c>
      <c r="E67" s="190" t="s">
        <v>2622</v>
      </c>
    </row>
    <row r="68" spans="2:5" ht="15.6">
      <c r="B68" s="197" t="s">
        <v>2623</v>
      </c>
      <c r="C68" s="194" t="s">
        <v>2624</v>
      </c>
      <c r="D68" s="189" t="s">
        <v>2625</v>
      </c>
      <c r="E68" s="189" t="s">
        <v>2626</v>
      </c>
    </row>
    <row r="69" spans="2:5" ht="15.6">
      <c r="B69" s="197" t="s">
        <v>2627</v>
      </c>
      <c r="C69" s="194" t="s">
        <v>2628</v>
      </c>
      <c r="D69" s="189" t="s">
        <v>2629</v>
      </c>
      <c r="E69" s="189" t="s">
        <v>2630</v>
      </c>
    </row>
    <row r="70" spans="2:5" ht="15" thickBot="1">
      <c r="B70" s="204"/>
      <c r="C70" s="205"/>
      <c r="D70" s="206"/>
      <c r="E70" s="206"/>
    </row>
    <row r="72" spans="2:5" ht="16.2" thickBot="1">
      <c r="B72" s="188" t="s">
        <v>2631</v>
      </c>
    </row>
    <row r="73" spans="2:5" ht="18.600000000000001" thickBot="1">
      <c r="B73" s="195" t="s">
        <v>2565</v>
      </c>
      <c r="C73" s="208" t="s">
        <v>2566</v>
      </c>
      <c r="D73" s="209" t="s">
        <v>1335</v>
      </c>
    </row>
    <row r="74" spans="2:5">
      <c r="B74" s="210" t="s">
        <v>2632</v>
      </c>
      <c r="C74" s="211" t="s">
        <v>2633</v>
      </c>
      <c r="D74" s="212" t="s">
        <v>2634</v>
      </c>
    </row>
    <row r="75" spans="2:5">
      <c r="B75" s="213" t="s">
        <v>2635</v>
      </c>
      <c r="C75" s="214" t="s">
        <v>2636</v>
      </c>
      <c r="D75" s="215" t="s">
        <v>2637</v>
      </c>
    </row>
    <row r="76" spans="2:5">
      <c r="B76" s="213" t="s">
        <v>2638</v>
      </c>
      <c r="C76" s="214" t="s">
        <v>2639</v>
      </c>
      <c r="D76" s="215" t="s">
        <v>2640</v>
      </c>
    </row>
    <row r="77" spans="2:5">
      <c r="B77" s="213" t="s">
        <v>2641</v>
      </c>
      <c r="C77" s="214" t="s">
        <v>2642</v>
      </c>
      <c r="D77" s="215" t="s">
        <v>2643</v>
      </c>
    </row>
    <row r="78" spans="2:5">
      <c r="B78" s="213" t="s">
        <v>2644</v>
      </c>
      <c r="C78" s="214" t="s">
        <v>2645</v>
      </c>
      <c r="D78" s="215" t="s">
        <v>2646</v>
      </c>
    </row>
    <row r="79" spans="2:5" ht="15" thickBot="1">
      <c r="B79" s="216" t="s">
        <v>2647</v>
      </c>
      <c r="C79" s="217" t="s">
        <v>2648</v>
      </c>
      <c r="D79" s="218" t="s">
        <v>2649</v>
      </c>
    </row>
    <row r="81" spans="2:4">
      <c r="B81" s="182" t="s">
        <v>2650</v>
      </c>
    </row>
    <row r="82" spans="2:4">
      <c r="B82" s="182" t="s">
        <v>2657</v>
      </c>
      <c r="C82" s="198" t="s">
        <v>2651</v>
      </c>
      <c r="D82" s="199" t="s">
        <v>2652</v>
      </c>
    </row>
    <row r="83" spans="2:4">
      <c r="C83" s="198" t="s">
        <v>2653</v>
      </c>
      <c r="D83" s="199" t="s">
        <v>2654</v>
      </c>
    </row>
    <row r="84" spans="2:4">
      <c r="C84" s="198" t="s">
        <v>2031</v>
      </c>
      <c r="D84" s="199" t="s">
        <v>2655</v>
      </c>
    </row>
    <row r="86" spans="2:4">
      <c r="B86" s="182" t="s">
        <v>2656</v>
      </c>
      <c r="C86" s="198" t="s">
        <v>689</v>
      </c>
      <c r="D86" s="199" t="s">
        <v>2666</v>
      </c>
    </row>
    <row r="87" spans="2:4">
      <c r="C87" s="198" t="s">
        <v>2667</v>
      </c>
      <c r="D87" s="199" t="s">
        <v>2668</v>
      </c>
    </row>
    <row r="88" spans="2:4">
      <c r="C88" s="198" t="s">
        <v>2669</v>
      </c>
      <c r="D88" s="199" t="s">
        <v>2670</v>
      </c>
    </row>
    <row r="89" spans="2:4">
      <c r="C89" s="198" t="s">
        <v>2671</v>
      </c>
      <c r="D89" s="199" t="s">
        <v>2672</v>
      </c>
    </row>
    <row r="90" spans="2:4">
      <c r="C90" s="198"/>
    </row>
    <row r="91" spans="2:4" ht="28.8">
      <c r="B91" s="219" t="s">
        <v>689</v>
      </c>
      <c r="C91" s="2" t="s">
        <v>2673</v>
      </c>
    </row>
    <row r="92" spans="2:4" ht="28.8">
      <c r="B92" s="219" t="s">
        <v>2674</v>
      </c>
      <c r="C92" s="2" t="s">
        <v>2675</v>
      </c>
    </row>
    <row r="93" spans="2:4">
      <c r="B93" s="230" t="s">
        <v>2676</v>
      </c>
      <c r="C93" s="199" t="s">
        <v>2677</v>
      </c>
    </row>
    <row r="94" spans="2:4">
      <c r="B94" s="230"/>
      <c r="C94" s="199" t="s">
        <v>2678</v>
      </c>
    </row>
    <row r="95" spans="2:4">
      <c r="B95" s="230"/>
      <c r="C95" s="199" t="s">
        <v>2679</v>
      </c>
    </row>
    <row r="96" spans="2:4" ht="28.8">
      <c r="B96" s="219" t="s">
        <v>2680</v>
      </c>
      <c r="C96" s="2" t="s">
        <v>2681</v>
      </c>
    </row>
    <row r="97" spans="2:4">
      <c r="B97" s="219" t="s">
        <v>2682</v>
      </c>
      <c r="C97" s="199" t="s">
        <v>2677</v>
      </c>
      <c r="D97" s="199" t="s">
        <v>2677</v>
      </c>
    </row>
    <row r="98" spans="2:4">
      <c r="B98" s="220" t="s">
        <v>2683</v>
      </c>
      <c r="C98" t="s">
        <v>2684</v>
      </c>
      <c r="D98" t="s">
        <v>2685</v>
      </c>
    </row>
    <row r="99" spans="2:4">
      <c r="B99" s="220" t="s">
        <v>2686</v>
      </c>
      <c r="C99" t="s">
        <v>2684</v>
      </c>
      <c r="D99" t="s">
        <v>2689</v>
      </c>
    </row>
    <row r="100" spans="2:4">
      <c r="B100" s="199" t="s">
        <v>2691</v>
      </c>
      <c r="C100" t="s">
        <v>2684</v>
      </c>
      <c r="D100" t="s">
        <v>2690</v>
      </c>
    </row>
    <row r="101" spans="2:4" ht="43.2">
      <c r="B101" s="2" t="s">
        <v>2692</v>
      </c>
      <c r="C101" s="44" t="s">
        <v>2687</v>
      </c>
      <c r="D101" s="44" t="s">
        <v>2688</v>
      </c>
    </row>
    <row r="103" spans="2:4">
      <c r="B103" s="219" t="s">
        <v>2693</v>
      </c>
      <c r="D103" s="199" t="s">
        <v>2696</v>
      </c>
    </row>
    <row r="104" spans="2:4" ht="28.8">
      <c r="B104" s="219" t="s">
        <v>2695</v>
      </c>
      <c r="C104" s="96" t="s">
        <v>2694</v>
      </c>
      <c r="D104" s="221" t="s">
        <v>2697</v>
      </c>
    </row>
    <row r="105" spans="2:4">
      <c r="B105" s="219" t="s">
        <v>2703</v>
      </c>
      <c r="C105" s="96" t="s">
        <v>2701</v>
      </c>
      <c r="D105" s="199" t="s">
        <v>2698</v>
      </c>
    </row>
    <row r="106" spans="2:4">
      <c r="B106" s="219" t="s">
        <v>2702</v>
      </c>
      <c r="C106" s="221" t="s">
        <v>2700</v>
      </c>
      <c r="D106" s="199" t="s">
        <v>2699</v>
      </c>
    </row>
    <row r="107" spans="2:4" ht="28.8">
      <c r="B107" s="219" t="s">
        <v>2704</v>
      </c>
      <c r="C107" s="221" t="s">
        <v>2706</v>
      </c>
      <c r="D107" s="203" t="s">
        <v>2708</v>
      </c>
    </row>
    <row r="108" spans="2:4" ht="43.2">
      <c r="B108" s="219" t="s">
        <v>2705</v>
      </c>
      <c r="C108" s="221" t="s">
        <v>2707</v>
      </c>
      <c r="D108" s="203" t="s">
        <v>2709</v>
      </c>
    </row>
    <row r="109" spans="2:4">
      <c r="B109" s="219"/>
    </row>
    <row r="110" spans="2:4">
      <c r="B110" s="230" t="s">
        <v>2710</v>
      </c>
      <c r="C110" s="223" t="s">
        <v>2711</v>
      </c>
      <c r="D110" t="s">
        <v>2712</v>
      </c>
    </row>
    <row r="111" spans="2:4">
      <c r="B111" s="230"/>
      <c r="C111" s="223"/>
      <c r="D111" s="199" t="s">
        <v>2713</v>
      </c>
    </row>
    <row r="112" spans="2:4">
      <c r="B112" s="230"/>
      <c r="C112" s="223"/>
    </row>
    <row r="113" spans="2:4">
      <c r="B113" s="230"/>
      <c r="C113" s="223"/>
      <c r="D113" s="199" t="s">
        <v>2714</v>
      </c>
    </row>
    <row r="114" spans="2:4">
      <c r="B114" s="230"/>
      <c r="C114" s="223"/>
      <c r="D114" s="199" t="s">
        <v>2715</v>
      </c>
    </row>
  </sheetData>
  <mergeCells count="4">
    <mergeCell ref="B11:B17"/>
    <mergeCell ref="B93:B95"/>
    <mergeCell ref="C110:C114"/>
    <mergeCell ref="B110:B1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C3ABE-A04A-4FF7-AE13-FD9C5439CB68}">
  <dimension ref="A1:L118"/>
  <sheetViews>
    <sheetView topLeftCell="A97" zoomScale="130" zoomScaleNormal="130" workbookViewId="0">
      <selection activeCell="C113" sqref="C113:C118"/>
    </sheetView>
  </sheetViews>
  <sheetFormatPr defaultRowHeight="14.4"/>
  <cols>
    <col min="1" max="1" width="9.6640625" bestFit="1" customWidth="1"/>
    <col min="2" max="2" width="35.77734375" bestFit="1" customWidth="1"/>
    <col min="3" max="3" width="63.21875" bestFit="1" customWidth="1"/>
    <col min="4" max="4" width="55.77734375" customWidth="1"/>
    <col min="5" max="5" width="74.44140625" customWidth="1"/>
  </cols>
  <sheetData>
    <row r="1" spans="1:12" ht="21">
      <c r="A1" s="4" t="s">
        <v>49</v>
      </c>
      <c r="B1" s="174" t="s">
        <v>50</v>
      </c>
      <c r="C1" s="231" t="s">
        <v>51</v>
      </c>
      <c r="D1" s="231"/>
      <c r="E1" s="5"/>
      <c r="F1" s="5"/>
      <c r="G1" s="5"/>
      <c r="H1" s="5"/>
      <c r="I1" s="5"/>
      <c r="J1" s="5"/>
      <c r="K1" s="5"/>
      <c r="L1" s="6"/>
    </row>
    <row r="2" spans="1:12" ht="21">
      <c r="A2" s="4"/>
      <c r="B2" s="174"/>
      <c r="C2" s="160" t="s">
        <v>2228</v>
      </c>
      <c r="D2" s="160" t="s">
        <v>1822</v>
      </c>
      <c r="E2" s="5"/>
      <c r="F2" s="5"/>
      <c r="G2" s="5"/>
      <c r="H2" s="5"/>
      <c r="I2" s="5"/>
      <c r="J2" s="5"/>
      <c r="K2" s="5"/>
      <c r="L2" s="6"/>
    </row>
    <row r="3" spans="1:12">
      <c r="A3">
        <v>1</v>
      </c>
      <c r="B3" t="s">
        <v>2423</v>
      </c>
      <c r="C3" t="s">
        <v>2424</v>
      </c>
      <c r="D3" t="s">
        <v>2425</v>
      </c>
    </row>
    <row r="4" spans="1:12" ht="28.8">
      <c r="A4">
        <v>2</v>
      </c>
      <c r="B4" t="s">
        <v>2426</v>
      </c>
      <c r="C4" t="s">
        <v>2427</v>
      </c>
      <c r="D4" s="32" t="s">
        <v>2428</v>
      </c>
    </row>
    <row r="6" spans="1:12">
      <c r="B6" s="46" t="s">
        <v>2429</v>
      </c>
    </row>
    <row r="7" spans="1:12">
      <c r="B7" t="s">
        <v>2430</v>
      </c>
      <c r="C7" t="s">
        <v>2431</v>
      </c>
    </row>
    <row r="8" spans="1:12">
      <c r="B8" t="s">
        <v>2432</v>
      </c>
      <c r="C8" t="s">
        <v>2433</v>
      </c>
    </row>
    <row r="9" spans="1:12">
      <c r="B9" t="s">
        <v>2434</v>
      </c>
      <c r="C9" t="s">
        <v>2435</v>
      </c>
    </row>
    <row r="10" spans="1:12">
      <c r="B10" t="s">
        <v>2436</v>
      </c>
      <c r="C10" t="s">
        <v>2437</v>
      </c>
    </row>
    <row r="11" spans="1:12">
      <c r="B11" t="s">
        <v>2438</v>
      </c>
      <c r="C11" t="s">
        <v>2439</v>
      </c>
    </row>
    <row r="12" spans="1:12">
      <c r="C12" t="s">
        <v>2440</v>
      </c>
    </row>
    <row r="13" spans="1:12">
      <c r="B13" t="s">
        <v>2478</v>
      </c>
      <c r="C13" t="s">
        <v>2479</v>
      </c>
      <c r="D13" t="s">
        <v>2480</v>
      </c>
    </row>
    <row r="14" spans="1:12">
      <c r="B14" t="s">
        <v>2484</v>
      </c>
      <c r="C14" t="s">
        <v>2485</v>
      </c>
      <c r="D14" t="s">
        <v>2486</v>
      </c>
    </row>
    <row r="18" spans="2:4" ht="28.8">
      <c r="B18" t="s">
        <v>2441</v>
      </c>
      <c r="C18" s="32" t="s">
        <v>2442</v>
      </c>
    </row>
    <row r="20" spans="2:4" ht="25.2">
      <c r="B20" t="s">
        <v>2443</v>
      </c>
      <c r="C20" s="44" t="s">
        <v>2444</v>
      </c>
      <c r="D20" s="179" t="s">
        <v>2445</v>
      </c>
    </row>
    <row r="21" spans="2:4">
      <c r="B21" t="s">
        <v>2446</v>
      </c>
      <c r="C21" t="s">
        <v>2449</v>
      </c>
    </row>
    <row r="22" spans="2:4" ht="37.799999999999997">
      <c r="C22" t="s">
        <v>2448</v>
      </c>
      <c r="D22" s="179" t="s">
        <v>2447</v>
      </c>
    </row>
    <row r="23" spans="2:4" ht="25.2">
      <c r="B23" t="s">
        <v>2450</v>
      </c>
      <c r="C23" s="44" t="s">
        <v>2451</v>
      </c>
      <c r="D23" s="179" t="s">
        <v>2454</v>
      </c>
    </row>
    <row r="24" spans="2:4">
      <c r="C24" t="s">
        <v>2449</v>
      </c>
    </row>
    <row r="25" spans="2:4" ht="37.799999999999997">
      <c r="C25" t="s">
        <v>2452</v>
      </c>
      <c r="D25" s="179" t="s">
        <v>2453</v>
      </c>
    </row>
    <row r="27" spans="2:4">
      <c r="B27" t="s">
        <v>2455</v>
      </c>
    </row>
    <row r="28" spans="2:4">
      <c r="B28" t="s">
        <v>2461</v>
      </c>
      <c r="D28" s="180" t="s">
        <v>2460</v>
      </c>
    </row>
    <row r="29" spans="2:4">
      <c r="C29" t="s">
        <v>2462</v>
      </c>
      <c r="D29" s="169" t="s">
        <v>2456</v>
      </c>
    </row>
    <row r="30" spans="2:4">
      <c r="C30" t="s">
        <v>2463</v>
      </c>
      <c r="D30" s="163" t="s">
        <v>2457</v>
      </c>
    </row>
    <row r="31" spans="2:4">
      <c r="D31" s="44"/>
    </row>
    <row r="32" spans="2:4">
      <c r="C32" t="s">
        <v>2464</v>
      </c>
      <c r="D32" s="163" t="s">
        <v>2458</v>
      </c>
    </row>
    <row r="33" spans="2:4">
      <c r="C33" t="s">
        <v>2463</v>
      </c>
      <c r="D33" s="169" t="s">
        <v>2459</v>
      </c>
    </row>
    <row r="34" spans="2:4">
      <c r="D34" s="169"/>
    </row>
    <row r="35" spans="2:4">
      <c r="D35" s="163"/>
    </row>
    <row r="36" spans="2:4">
      <c r="B36" t="s">
        <v>2468</v>
      </c>
      <c r="D36" s="180" t="s">
        <v>2469</v>
      </c>
    </row>
    <row r="37" spans="2:4">
      <c r="C37" t="s">
        <v>2462</v>
      </c>
      <c r="D37" s="169" t="s">
        <v>2465</v>
      </c>
    </row>
    <row r="38" spans="2:4">
      <c r="C38" t="s">
        <v>2463</v>
      </c>
      <c r="D38" s="163" t="s">
        <v>2466</v>
      </c>
    </row>
    <row r="39" spans="2:4">
      <c r="D39" s="44"/>
    </row>
    <row r="40" spans="2:4">
      <c r="C40" t="s">
        <v>2464</v>
      </c>
      <c r="D40" s="163" t="s">
        <v>2458</v>
      </c>
    </row>
    <row r="41" spans="2:4">
      <c r="C41" t="s">
        <v>2463</v>
      </c>
      <c r="D41" s="169" t="s">
        <v>2467</v>
      </c>
    </row>
    <row r="43" spans="2:4">
      <c r="B43" t="s">
        <v>2475</v>
      </c>
      <c r="D43" s="169" t="s">
        <v>2474</v>
      </c>
    </row>
    <row r="44" spans="2:4">
      <c r="D44" s="163" t="s">
        <v>2472</v>
      </c>
    </row>
    <row r="45" spans="2:4">
      <c r="D45" s="163" t="s">
        <v>2473</v>
      </c>
    </row>
    <row r="47" spans="2:4">
      <c r="B47" t="s">
        <v>2476</v>
      </c>
      <c r="C47" t="s">
        <v>2477</v>
      </c>
      <c r="D47" s="180" t="s">
        <v>2470</v>
      </c>
    </row>
    <row r="48" spans="2:4">
      <c r="D48" s="169" t="s">
        <v>2471</v>
      </c>
    </row>
    <row r="49" spans="2:4">
      <c r="D49" s="163" t="s">
        <v>2472</v>
      </c>
    </row>
    <row r="50" spans="2:4">
      <c r="D50" s="163" t="s">
        <v>2473</v>
      </c>
    </row>
    <row r="52" spans="2:4">
      <c r="B52" t="s">
        <v>2481</v>
      </c>
      <c r="C52" t="s">
        <v>2482</v>
      </c>
    </row>
    <row r="53" spans="2:4">
      <c r="C53" t="s">
        <v>2483</v>
      </c>
    </row>
    <row r="54" spans="2:4">
      <c r="D54" s="180" t="s">
        <v>2487</v>
      </c>
    </row>
    <row r="55" spans="2:4">
      <c r="D55" s="169" t="s">
        <v>2488</v>
      </c>
    </row>
    <row r="56" spans="2:4">
      <c r="D56" s="163" t="s">
        <v>2489</v>
      </c>
    </row>
    <row r="58" spans="2:4">
      <c r="B58" t="s">
        <v>2490</v>
      </c>
      <c r="C58" t="s">
        <v>2491</v>
      </c>
      <c r="D58" s="169" t="s">
        <v>2492</v>
      </c>
    </row>
    <row r="59" spans="2:4">
      <c r="D59" s="163" t="s">
        <v>2493</v>
      </c>
    </row>
    <row r="60" spans="2:4">
      <c r="D60" s="166" t="s">
        <v>2498</v>
      </c>
    </row>
    <row r="61" spans="2:4">
      <c r="D61" s="163" t="s">
        <v>2499</v>
      </c>
    </row>
    <row r="62" spans="2:4">
      <c r="D62" s="166" t="s">
        <v>2494</v>
      </c>
    </row>
    <row r="63" spans="2:4">
      <c r="D63" s="166" t="s">
        <v>2495</v>
      </c>
    </row>
    <row r="64" spans="2:4">
      <c r="D64" s="166" t="s">
        <v>2496</v>
      </c>
    </row>
    <row r="65" spans="2:4">
      <c r="D65" s="166" t="s">
        <v>2497</v>
      </c>
    </row>
    <row r="67" spans="2:4">
      <c r="B67" t="s">
        <v>2500</v>
      </c>
      <c r="C67" t="s">
        <v>2501</v>
      </c>
    </row>
    <row r="69" spans="2:4">
      <c r="B69" t="s">
        <v>2511</v>
      </c>
      <c r="C69" t="s">
        <v>2512</v>
      </c>
      <c r="D69" s="169" t="s">
        <v>2503</v>
      </c>
    </row>
    <row r="70" spans="2:4">
      <c r="D70" s="163" t="s">
        <v>2504</v>
      </c>
    </row>
    <row r="71" spans="2:4">
      <c r="D71" s="163" t="s">
        <v>2505</v>
      </c>
    </row>
    <row r="72" spans="2:4">
      <c r="D72" s="163" t="s">
        <v>2506</v>
      </c>
    </row>
    <row r="73" spans="2:4">
      <c r="D73" s="163" t="s">
        <v>2507</v>
      </c>
    </row>
    <row r="74" spans="2:4">
      <c r="D74" s="163" t="s">
        <v>2502</v>
      </c>
    </row>
    <row r="76" spans="2:4">
      <c r="C76" t="s">
        <v>2513</v>
      </c>
      <c r="D76" s="180" t="s">
        <v>2508</v>
      </c>
    </row>
    <row r="77" spans="2:4">
      <c r="D77" s="169" t="s">
        <v>2509</v>
      </c>
    </row>
    <row r="78" spans="2:4">
      <c r="D78" s="163" t="s">
        <v>2510</v>
      </c>
    </row>
    <row r="80" spans="2:4">
      <c r="B80" s="46" t="s">
        <v>2514</v>
      </c>
      <c r="C80" s="46" t="s">
        <v>2515</v>
      </c>
    </row>
    <row r="81" spans="2:4">
      <c r="B81" t="s">
        <v>2516</v>
      </c>
    </row>
    <row r="82" spans="2:4">
      <c r="B82" t="s">
        <v>2517</v>
      </c>
      <c r="C82" t="s">
        <v>2518</v>
      </c>
    </row>
    <row r="83" spans="2:4">
      <c r="B83" t="s">
        <v>2519</v>
      </c>
      <c r="C83" t="s">
        <v>2520</v>
      </c>
    </row>
    <row r="84" spans="2:4">
      <c r="B84" t="s">
        <v>2521</v>
      </c>
      <c r="C84" t="s">
        <v>2522</v>
      </c>
      <c r="D84" s="169" t="s">
        <v>2523</v>
      </c>
    </row>
    <row r="85" spans="2:4">
      <c r="B85" t="s">
        <v>2524</v>
      </c>
      <c r="C85" t="s">
        <v>2525</v>
      </c>
      <c r="D85" s="169" t="s">
        <v>2526</v>
      </c>
    </row>
    <row r="87" spans="2:4" ht="28.8">
      <c r="B87" s="46" t="s">
        <v>2527</v>
      </c>
      <c r="C87" s="32" t="s">
        <v>2528</v>
      </c>
    </row>
    <row r="89" spans="2:4">
      <c r="B89" t="s">
        <v>2529</v>
      </c>
      <c r="C89" t="s">
        <v>2530</v>
      </c>
    </row>
    <row r="91" spans="2:4">
      <c r="B91" t="s">
        <v>2531</v>
      </c>
      <c r="C91" t="s">
        <v>2532</v>
      </c>
    </row>
    <row r="93" spans="2:4">
      <c r="B93" t="s">
        <v>2533</v>
      </c>
      <c r="C93" t="s">
        <v>2534</v>
      </c>
    </row>
    <row r="95" spans="2:4">
      <c r="B95" s="46" t="s">
        <v>2535</v>
      </c>
    </row>
    <row r="96" spans="2:4">
      <c r="B96" t="s">
        <v>2536</v>
      </c>
      <c r="C96" t="s">
        <v>2537</v>
      </c>
    </row>
    <row r="97" spans="2:4">
      <c r="C97" t="s">
        <v>2538</v>
      </c>
    </row>
    <row r="98" spans="2:4">
      <c r="C98" t="s">
        <v>2539</v>
      </c>
      <c r="D98" t="s">
        <v>2540</v>
      </c>
    </row>
    <row r="99" spans="2:4">
      <c r="C99" t="s">
        <v>2542</v>
      </c>
      <c r="D99" t="s">
        <v>2541</v>
      </c>
    </row>
    <row r="101" spans="2:4" ht="37.799999999999997">
      <c r="B101" t="s">
        <v>2543</v>
      </c>
      <c r="C101" s="165" t="s">
        <v>2545</v>
      </c>
      <c r="D101" s="165" t="s">
        <v>2544</v>
      </c>
    </row>
    <row r="103" spans="2:4">
      <c r="B103" t="s">
        <v>2546</v>
      </c>
      <c r="C103" s="180" t="s">
        <v>2555</v>
      </c>
    </row>
    <row r="104" spans="2:4">
      <c r="C104" s="169" t="s">
        <v>2548</v>
      </c>
    </row>
    <row r="105" spans="2:4">
      <c r="C105" s="163" t="s">
        <v>2549</v>
      </c>
    </row>
    <row r="106" spans="2:4">
      <c r="C106" s="169" t="s">
        <v>2550</v>
      </c>
    </row>
    <row r="107" spans="2:4">
      <c r="C107" s="163" t="s">
        <v>2551</v>
      </c>
    </row>
    <row r="108" spans="2:4">
      <c r="C108" s="172" t="s">
        <v>2552</v>
      </c>
    </row>
    <row r="109" spans="2:4">
      <c r="C109" s="163" t="s">
        <v>2553</v>
      </c>
    </row>
    <row r="110" spans="2:4">
      <c r="C110" s="163" t="s">
        <v>2547</v>
      </c>
    </row>
    <row r="111" spans="2:4" ht="37.799999999999997">
      <c r="C111" s="165" t="s">
        <v>2554</v>
      </c>
    </row>
    <row r="113" spans="2:3">
      <c r="B113" t="s">
        <v>2556</v>
      </c>
      <c r="C113" s="180" t="s">
        <v>2558</v>
      </c>
    </row>
    <row r="114" spans="2:3">
      <c r="C114" s="169" t="s">
        <v>2559</v>
      </c>
    </row>
    <row r="115" spans="2:3">
      <c r="C115" s="163" t="s">
        <v>2560</v>
      </c>
    </row>
    <row r="116" spans="2:3">
      <c r="C116" s="163" t="s">
        <v>2557</v>
      </c>
    </row>
    <row r="117" spans="2:3">
      <c r="C117" s="163" t="s">
        <v>2561</v>
      </c>
    </row>
    <row r="118" spans="2:3">
      <c r="C118" s="163" t="s">
        <v>2562</v>
      </c>
    </row>
  </sheetData>
  <mergeCells count="1">
    <mergeCell ref="C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364A-72E5-42A2-A6E1-E1FFC40EF637}">
  <dimension ref="A1:L99"/>
  <sheetViews>
    <sheetView topLeftCell="A85" zoomScale="120" zoomScaleNormal="120" workbookViewId="0">
      <selection activeCell="C104" sqref="C104"/>
    </sheetView>
  </sheetViews>
  <sheetFormatPr defaultRowHeight="14.4"/>
  <cols>
    <col min="1" max="1" width="7.77734375" customWidth="1"/>
    <col min="2" max="2" width="47.77734375" bestFit="1" customWidth="1"/>
    <col min="3" max="3" width="65.88671875" customWidth="1"/>
    <col min="4" max="4" width="102.21875" customWidth="1"/>
    <col min="5" max="5" width="74.44140625" customWidth="1"/>
  </cols>
  <sheetData>
    <row r="1" spans="1:12" ht="21">
      <c r="A1" s="4" t="s">
        <v>49</v>
      </c>
      <c r="B1" s="97" t="s">
        <v>50</v>
      </c>
      <c r="C1" s="5" t="s">
        <v>51</v>
      </c>
      <c r="D1" s="5"/>
      <c r="E1" s="5"/>
      <c r="F1" s="5"/>
      <c r="G1" s="5"/>
      <c r="H1" s="5"/>
      <c r="I1" s="5"/>
      <c r="J1" s="5"/>
      <c r="K1" s="5"/>
      <c r="L1" s="6"/>
    </row>
    <row r="2" spans="1:12">
      <c r="B2" t="s">
        <v>1102</v>
      </c>
      <c r="C2" t="s">
        <v>1103</v>
      </c>
    </row>
    <row r="3" spans="1:12">
      <c r="B3" t="s">
        <v>1104</v>
      </c>
      <c r="C3" t="s">
        <v>1105</v>
      </c>
    </row>
    <row r="5" spans="1:12">
      <c r="B5" t="s">
        <v>1106</v>
      </c>
      <c r="C5" t="s">
        <v>1107</v>
      </c>
    </row>
    <row r="6" spans="1:12">
      <c r="C6" t="s">
        <v>1108</v>
      </c>
    </row>
    <row r="7" spans="1:12" ht="43.2">
      <c r="C7" s="32" t="s">
        <v>1109</v>
      </c>
    </row>
    <row r="9" spans="1:12">
      <c r="B9" s="223" t="s">
        <v>2716</v>
      </c>
      <c r="C9" s="163" t="s">
        <v>2719</v>
      </c>
      <c r="D9" s="163" t="s">
        <v>2731</v>
      </c>
    </row>
    <row r="10" spans="1:12">
      <c r="B10" s="223"/>
      <c r="C10" s="222" t="s">
        <v>2717</v>
      </c>
      <c r="D10" s="222" t="s">
        <v>2730</v>
      </c>
    </row>
    <row r="11" spans="1:12">
      <c r="B11" s="223"/>
      <c r="C11" s="222" t="s">
        <v>2718</v>
      </c>
    </row>
    <row r="12" spans="1:12">
      <c r="B12" s="223"/>
      <c r="C12" s="163" t="s">
        <v>2720</v>
      </c>
    </row>
    <row r="13" spans="1:12">
      <c r="B13" s="146" t="s">
        <v>2734</v>
      </c>
      <c r="C13" s="169" t="s">
        <v>2735</v>
      </c>
    </row>
    <row r="14" spans="1:12">
      <c r="B14" s="146"/>
      <c r="C14" s="163" t="s">
        <v>2736</v>
      </c>
    </row>
    <row r="15" spans="1:12">
      <c r="B15" s="146"/>
      <c r="C15" s="163"/>
    </row>
    <row r="16" spans="1:12">
      <c r="B16" s="146" t="s">
        <v>2803</v>
      </c>
      <c r="C16" s="222" t="s">
        <v>2804</v>
      </c>
    </row>
    <row r="17" spans="2:4">
      <c r="C17" s="163" t="s">
        <v>2805</v>
      </c>
    </row>
    <row r="18" spans="2:4">
      <c r="C18" s="163"/>
    </row>
    <row r="19" spans="2:4">
      <c r="B19" s="46" t="s">
        <v>2721</v>
      </c>
      <c r="C19" s="163"/>
    </row>
    <row r="20" spans="2:4">
      <c r="B20" t="s">
        <v>2724</v>
      </c>
      <c r="C20" s="163" t="s">
        <v>2726</v>
      </c>
    </row>
    <row r="21" spans="2:4" ht="62.4" customHeight="1">
      <c r="B21" s="223" t="s">
        <v>2722</v>
      </c>
      <c r="C21" s="163" t="s">
        <v>2725</v>
      </c>
      <c r="D21" s="224" t="s">
        <v>2728</v>
      </c>
    </row>
    <row r="22" spans="2:4" ht="88.8" customHeight="1">
      <c r="B22" s="223"/>
      <c r="C22" s="163" t="s">
        <v>2727</v>
      </c>
      <c r="D22" s="224"/>
    </row>
    <row r="23" spans="2:4">
      <c r="B23" t="s">
        <v>2723</v>
      </c>
      <c r="C23" s="163" t="s">
        <v>2729</v>
      </c>
    </row>
    <row r="24" spans="2:4">
      <c r="B24" t="s">
        <v>2732</v>
      </c>
      <c r="C24" s="163" t="s">
        <v>2743</v>
      </c>
      <c r="D24" s="163" t="s">
        <v>2733</v>
      </c>
    </row>
    <row r="25" spans="2:4">
      <c r="B25" t="s">
        <v>2744</v>
      </c>
      <c r="C25" s="163" t="s">
        <v>2745</v>
      </c>
    </row>
    <row r="26" spans="2:4">
      <c r="C26" s="163"/>
    </row>
    <row r="27" spans="2:4" ht="28.8">
      <c r="B27" s="32" t="s">
        <v>2767</v>
      </c>
      <c r="C27" s="163" t="s">
        <v>2769</v>
      </c>
      <c r="D27" s="163" t="s">
        <v>2768</v>
      </c>
    </row>
    <row r="29" spans="2:4" ht="15.6">
      <c r="B29" s="107" t="s">
        <v>2514</v>
      </c>
      <c r="C29" s="163" t="s">
        <v>2747</v>
      </c>
      <c r="D29" s="163" t="s">
        <v>2746</v>
      </c>
    </row>
    <row r="30" spans="2:4">
      <c r="C30" s="46" t="s">
        <v>2753</v>
      </c>
      <c r="D30" t="s">
        <v>2748</v>
      </c>
    </row>
    <row r="31" spans="2:4">
      <c r="C31" s="46" t="s">
        <v>2754</v>
      </c>
      <c r="D31" t="s">
        <v>2749</v>
      </c>
    </row>
    <row r="32" spans="2:4">
      <c r="C32" s="46" t="s">
        <v>2755</v>
      </c>
      <c r="D32" t="s">
        <v>2750</v>
      </c>
    </row>
    <row r="33" spans="2:4">
      <c r="C33" s="46" t="s">
        <v>2756</v>
      </c>
      <c r="D33" t="s">
        <v>2751</v>
      </c>
    </row>
    <row r="34" spans="2:4">
      <c r="C34" s="46" t="s">
        <v>2757</v>
      </c>
      <c r="D34" t="s">
        <v>2752</v>
      </c>
    </row>
    <row r="36" spans="2:4">
      <c r="B36" s="46" t="s">
        <v>2758</v>
      </c>
      <c r="C36" s="98" t="s">
        <v>2759</v>
      </c>
    </row>
    <row r="37" spans="2:4">
      <c r="C37" s="46"/>
    </row>
    <row r="38" spans="2:4" ht="28.8">
      <c r="B38" s="46" t="s">
        <v>2527</v>
      </c>
      <c r="C38" s="32" t="s">
        <v>2760</v>
      </c>
    </row>
    <row r="39" spans="2:4">
      <c r="C39" s="46" t="s">
        <v>2761</v>
      </c>
    </row>
    <row r="40" spans="2:4">
      <c r="C40" s="46"/>
    </row>
    <row r="41" spans="2:4">
      <c r="C41" s="46"/>
    </row>
    <row r="42" spans="2:4">
      <c r="B42" s="223" t="s">
        <v>2737</v>
      </c>
      <c r="C42" s="169" t="s">
        <v>2738</v>
      </c>
    </row>
    <row r="43" spans="2:4">
      <c r="B43" s="223"/>
      <c r="C43" s="172" t="s">
        <v>2739</v>
      </c>
    </row>
    <row r="44" spans="2:4">
      <c r="B44" s="223"/>
      <c r="C44" s="222" t="s">
        <v>2740</v>
      </c>
    </row>
    <row r="45" spans="2:4">
      <c r="B45" s="223"/>
      <c r="C45" s="163" t="s">
        <v>2741</v>
      </c>
    </row>
    <row r="46" spans="2:4">
      <c r="B46" s="223"/>
      <c r="C46" s="163" t="s">
        <v>2742</v>
      </c>
    </row>
    <row r="47" spans="2:4">
      <c r="B47" s="146"/>
      <c r="C47" s="163"/>
    </row>
    <row r="48" spans="2:4">
      <c r="B48" s="223" t="s">
        <v>2796</v>
      </c>
      <c r="C48" s="163" t="s">
        <v>2797</v>
      </c>
    </row>
    <row r="49" spans="2:4">
      <c r="B49" s="223"/>
      <c r="C49" s="163" t="s">
        <v>2798</v>
      </c>
    </row>
    <row r="50" spans="2:4">
      <c r="B50" s="223"/>
      <c r="C50" s="163" t="s">
        <v>2799</v>
      </c>
    </row>
    <row r="51" spans="2:4">
      <c r="B51" s="146"/>
      <c r="C51" s="163"/>
    </row>
    <row r="52" spans="2:4">
      <c r="B52" s="146" t="s">
        <v>2800</v>
      </c>
      <c r="C52" s="163" t="s">
        <v>2802</v>
      </c>
      <c r="D52" s="163" t="s">
        <v>2801</v>
      </c>
    </row>
    <row r="53" spans="2:4">
      <c r="C53" s="46"/>
    </row>
    <row r="54" spans="2:4">
      <c r="B54" s="225" t="s">
        <v>2762</v>
      </c>
      <c r="C54" s="163" t="s">
        <v>2763</v>
      </c>
      <c r="D54" s="169" t="s">
        <v>2794</v>
      </c>
    </row>
    <row r="55" spans="2:4">
      <c r="B55" s="225"/>
      <c r="C55" s="163" t="s">
        <v>2795</v>
      </c>
      <c r="D55" s="163" t="s">
        <v>2793</v>
      </c>
    </row>
    <row r="56" spans="2:4">
      <c r="B56" s="225"/>
      <c r="C56" s="163" t="s">
        <v>2764</v>
      </c>
      <c r="D56" s="222" t="s">
        <v>2792</v>
      </c>
    </row>
    <row r="58" spans="2:4">
      <c r="B58" s="46" t="s">
        <v>2395</v>
      </c>
    </row>
    <row r="59" spans="2:4">
      <c r="B59" t="s">
        <v>2766</v>
      </c>
      <c r="C59" s="163" t="s">
        <v>2765</v>
      </c>
    </row>
    <row r="60" spans="2:4">
      <c r="B60" s="223" t="s">
        <v>2399</v>
      </c>
      <c r="C60" s="163" t="s">
        <v>2774</v>
      </c>
    </row>
    <row r="61" spans="2:4">
      <c r="B61" s="223"/>
      <c r="C61" s="222" t="s">
        <v>2770</v>
      </c>
    </row>
    <row r="62" spans="2:4">
      <c r="B62" s="223"/>
      <c r="C62" s="163" t="s">
        <v>2776</v>
      </c>
    </row>
    <row r="63" spans="2:4">
      <c r="B63" s="223"/>
      <c r="C63" s="163" t="s">
        <v>2775</v>
      </c>
    </row>
    <row r="64" spans="2:4">
      <c r="B64" s="223"/>
      <c r="C64" s="222" t="s">
        <v>2771</v>
      </c>
    </row>
    <row r="65" spans="2:3">
      <c r="B65" s="223"/>
      <c r="C65" s="222" t="s">
        <v>2772</v>
      </c>
    </row>
    <row r="66" spans="2:3">
      <c r="B66" s="223"/>
      <c r="C66" s="163" t="s">
        <v>2778</v>
      </c>
    </row>
    <row r="67" spans="2:3">
      <c r="B67" s="223"/>
      <c r="C67" s="222" t="s">
        <v>2773</v>
      </c>
    </row>
    <row r="68" spans="2:3" ht="37.799999999999997">
      <c r="B68" s="44" t="s">
        <v>2777</v>
      </c>
      <c r="C68" s="165" t="s">
        <v>2779</v>
      </c>
    </row>
    <row r="69" spans="2:3">
      <c r="B69" s="223" t="s">
        <v>819</v>
      </c>
      <c r="C69" s="163" t="s">
        <v>2782</v>
      </c>
    </row>
    <row r="70" spans="2:3">
      <c r="B70" s="223"/>
      <c r="C70" s="163" t="s">
        <v>2783</v>
      </c>
    </row>
    <row r="71" spans="2:3">
      <c r="B71" s="223"/>
      <c r="C71" s="222" t="s">
        <v>2780</v>
      </c>
    </row>
    <row r="72" spans="2:3">
      <c r="B72" s="223"/>
      <c r="C72" s="222" t="s">
        <v>2781</v>
      </c>
    </row>
    <row r="73" spans="2:3">
      <c r="B73" s="223"/>
    </row>
    <row r="74" spans="2:3">
      <c r="B74" s="223"/>
      <c r="C74" s="222" t="s">
        <v>2784</v>
      </c>
    </row>
    <row r="75" spans="2:3">
      <c r="B75" s="223"/>
      <c r="C75" s="163" t="s">
        <v>2786</v>
      </c>
    </row>
    <row r="76" spans="2:3">
      <c r="B76" s="223"/>
      <c r="C76" s="163" t="s">
        <v>2787</v>
      </c>
    </row>
    <row r="77" spans="2:3">
      <c r="B77" s="223"/>
      <c r="C77" s="222" t="s">
        <v>2785</v>
      </c>
    </row>
    <row r="78" spans="2:3">
      <c r="B78" s="223"/>
    </row>
    <row r="79" spans="2:3">
      <c r="B79" s="223"/>
      <c r="C79" s="222" t="s">
        <v>2784</v>
      </c>
    </row>
    <row r="80" spans="2:3">
      <c r="B80" s="223"/>
      <c r="C80" s="163" t="s">
        <v>2788</v>
      </c>
    </row>
    <row r="81" spans="2:3">
      <c r="B81" s="223"/>
      <c r="C81" s="163" t="s">
        <v>2789</v>
      </c>
    </row>
    <row r="82" spans="2:3">
      <c r="B82" s="223"/>
      <c r="C82" s="222" t="s">
        <v>2785</v>
      </c>
    </row>
    <row r="83" spans="2:3">
      <c r="B83" t="s">
        <v>2790</v>
      </c>
      <c r="C83" s="163" t="s">
        <v>2791</v>
      </c>
    </row>
    <row r="85" spans="2:3">
      <c r="B85" s="223" t="s">
        <v>2806</v>
      </c>
      <c r="C85" s="163" t="s">
        <v>2810</v>
      </c>
    </row>
    <row r="86" spans="2:3">
      <c r="B86" s="223"/>
      <c r="C86" s="163" t="s">
        <v>2808</v>
      </c>
    </row>
    <row r="87" spans="2:3">
      <c r="B87" s="223"/>
      <c r="C87" s="163" t="s">
        <v>2809</v>
      </c>
    </row>
    <row r="88" spans="2:3">
      <c r="B88" s="223"/>
      <c r="C88" s="222" t="s">
        <v>2807</v>
      </c>
    </row>
    <row r="90" spans="2:3">
      <c r="B90" s="223" t="s">
        <v>2811</v>
      </c>
      <c r="C90" s="169" t="s">
        <v>2814</v>
      </c>
    </row>
    <row r="91" spans="2:3">
      <c r="B91" s="223"/>
      <c r="C91" s="163" t="s">
        <v>2815</v>
      </c>
    </row>
    <row r="92" spans="2:3">
      <c r="B92" s="223"/>
      <c r="C92" s="44"/>
    </row>
    <row r="93" spans="2:3">
      <c r="B93" s="223"/>
      <c r="C93" s="222" t="s">
        <v>2812</v>
      </c>
    </row>
    <row r="94" spans="2:3">
      <c r="B94" s="223"/>
      <c r="C94" s="44"/>
    </row>
    <row r="95" spans="2:3">
      <c r="B95" s="223"/>
      <c r="C95" s="163" t="s">
        <v>2816</v>
      </c>
    </row>
    <row r="96" spans="2:3">
      <c r="B96" s="223"/>
      <c r="C96" s="163" t="s">
        <v>2817</v>
      </c>
    </row>
    <row r="97" spans="2:3">
      <c r="B97" s="223"/>
      <c r="C97" s="44"/>
    </row>
    <row r="98" spans="2:3">
      <c r="B98" s="223"/>
      <c r="C98" s="163" t="s">
        <v>2818</v>
      </c>
    </row>
    <row r="99" spans="2:3">
      <c r="B99" s="223"/>
      <c r="C99" s="222" t="s">
        <v>2813</v>
      </c>
    </row>
  </sheetData>
  <mergeCells count="10">
    <mergeCell ref="B60:B67"/>
    <mergeCell ref="B69:B82"/>
    <mergeCell ref="B48:B50"/>
    <mergeCell ref="B85:B88"/>
    <mergeCell ref="B90:B99"/>
    <mergeCell ref="B9:B12"/>
    <mergeCell ref="B21:B22"/>
    <mergeCell ref="D21:D22"/>
    <mergeCell ref="B42:B46"/>
    <mergeCell ref="B54:B56"/>
  </mergeCells>
  <hyperlinks>
    <hyperlink ref="C36" r:id="rId1" xr:uid="{4550FDFB-BCC5-4A08-B377-B7F50E30E3F5}"/>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7"/>
  <sheetViews>
    <sheetView topLeftCell="A14" zoomScaleNormal="100" workbookViewId="0">
      <selection sqref="A1:XFD2"/>
    </sheetView>
  </sheetViews>
  <sheetFormatPr defaultRowHeight="14.4"/>
  <cols>
    <col min="1" max="1" width="7.77734375" style="1" customWidth="1"/>
    <col min="2" max="2" width="23.21875" style="2" customWidth="1"/>
    <col min="3" max="3" width="65.88671875" style="2" customWidth="1"/>
    <col min="4" max="4" width="43.6640625" customWidth="1"/>
    <col min="5" max="5" width="74.44140625" customWidth="1"/>
  </cols>
  <sheetData>
    <row r="1" spans="1:12" ht="21">
      <c r="A1" s="4" t="s">
        <v>49</v>
      </c>
      <c r="B1" s="97" t="s">
        <v>50</v>
      </c>
      <c r="C1" s="5" t="s">
        <v>51</v>
      </c>
      <c r="D1" s="5"/>
      <c r="E1" s="5"/>
      <c r="F1" s="5"/>
      <c r="G1" s="5"/>
      <c r="H1" s="5"/>
      <c r="I1" s="5"/>
      <c r="J1" s="5"/>
      <c r="K1" s="5"/>
      <c r="L1" s="6"/>
    </row>
    <row r="2" spans="1:12" ht="21">
      <c r="A2" s="157"/>
      <c r="B2" s="158"/>
      <c r="C2" s="30" t="s">
        <v>2198</v>
      </c>
      <c r="D2" s="30" t="s">
        <v>2199</v>
      </c>
      <c r="E2" s="30"/>
      <c r="F2" s="30"/>
      <c r="G2" s="30"/>
      <c r="H2" s="30"/>
      <c r="I2" s="30"/>
      <c r="J2" s="30"/>
      <c r="K2" s="30"/>
      <c r="L2" s="30"/>
    </row>
    <row r="3" spans="1:12">
      <c r="A3" s="243">
        <v>1</v>
      </c>
      <c r="B3" s="241" t="s">
        <v>111</v>
      </c>
      <c r="C3" s="2" t="s">
        <v>112</v>
      </c>
    </row>
    <row r="4" spans="1:12">
      <c r="A4" s="236"/>
      <c r="B4" s="242"/>
      <c r="C4" s="2" t="s">
        <v>113</v>
      </c>
    </row>
    <row r="5" spans="1:12">
      <c r="A5" s="236"/>
      <c r="B5" s="242"/>
      <c r="C5" s="2" t="s">
        <v>114</v>
      </c>
    </row>
    <row r="6" spans="1:12">
      <c r="A6" s="236"/>
      <c r="B6" s="242"/>
      <c r="C6" s="2" t="s">
        <v>115</v>
      </c>
    </row>
    <row r="7" spans="1:12">
      <c r="A7" s="244" t="s">
        <v>116</v>
      </c>
      <c r="B7" s="242" t="s">
        <v>117</v>
      </c>
      <c r="C7" s="2" t="s">
        <v>118</v>
      </c>
    </row>
    <row r="8" spans="1:12">
      <c r="A8" s="244"/>
      <c r="B8" s="242"/>
      <c r="C8" s="2" t="s">
        <v>118</v>
      </c>
    </row>
    <row r="9" spans="1:12">
      <c r="A9" s="244"/>
      <c r="B9" s="242"/>
      <c r="C9" s="2" t="s">
        <v>120</v>
      </c>
    </row>
    <row r="10" spans="1:12">
      <c r="A10" s="244"/>
      <c r="B10" s="242"/>
      <c r="C10" s="2" t="s">
        <v>119</v>
      </c>
    </row>
    <row r="11" spans="1:12" ht="28.8">
      <c r="A11" s="29"/>
      <c r="B11" s="94" t="s">
        <v>417</v>
      </c>
      <c r="C11" s="2" t="s">
        <v>418</v>
      </c>
      <c r="D11" s="32" t="s">
        <v>2200</v>
      </c>
      <c r="E11" s="32" t="s">
        <v>2201</v>
      </c>
    </row>
    <row r="12" spans="1:12" ht="28.8">
      <c r="A12" s="29"/>
      <c r="B12" s="94" t="s">
        <v>419</v>
      </c>
      <c r="C12" s="2" t="s">
        <v>420</v>
      </c>
    </row>
    <row r="13" spans="1:12" ht="43.2">
      <c r="A13" s="29"/>
      <c r="B13" s="94" t="s">
        <v>421</v>
      </c>
      <c r="C13" s="2" t="s">
        <v>422</v>
      </c>
      <c r="D13" s="32" t="s">
        <v>2202</v>
      </c>
    </row>
    <row r="14" spans="1:12">
      <c r="A14" s="29"/>
      <c r="B14" s="94"/>
    </row>
    <row r="15" spans="1:12" ht="28.8">
      <c r="A15" s="3">
        <v>3</v>
      </c>
      <c r="B15" s="2" t="s">
        <v>16</v>
      </c>
      <c r="C15" s="2" t="s">
        <v>17</v>
      </c>
    </row>
    <row r="16" spans="1:12">
      <c r="A16" s="3">
        <v>4</v>
      </c>
      <c r="B16" s="2" t="s">
        <v>18</v>
      </c>
      <c r="C16" s="2" t="s">
        <v>42</v>
      </c>
    </row>
    <row r="17" spans="1:4">
      <c r="A17" s="3">
        <v>5</v>
      </c>
      <c r="B17" s="2" t="s">
        <v>19</v>
      </c>
      <c r="C17" s="2" t="s">
        <v>43</v>
      </c>
    </row>
    <row r="18" spans="1:4" ht="72">
      <c r="A18" s="3">
        <v>6</v>
      </c>
      <c r="B18" s="228" t="s">
        <v>20</v>
      </c>
      <c r="C18" s="2" t="s">
        <v>21</v>
      </c>
    </row>
    <row r="19" spans="1:4" ht="28.8">
      <c r="A19" s="3">
        <v>7</v>
      </c>
      <c r="B19" s="228"/>
      <c r="C19" s="2" t="s">
        <v>22</v>
      </c>
    </row>
    <row r="20" spans="1:4">
      <c r="A20" s="3"/>
    </row>
    <row r="21" spans="1:4">
      <c r="A21" s="3">
        <v>8</v>
      </c>
      <c r="B21" s="70" t="s">
        <v>23</v>
      </c>
    </row>
    <row r="22" spans="1:4" ht="28.8">
      <c r="A22" s="3"/>
      <c r="B22" s="2" t="s">
        <v>1214</v>
      </c>
      <c r="C22" s="2" t="s">
        <v>1215</v>
      </c>
      <c r="D22" t="s">
        <v>2203</v>
      </c>
    </row>
    <row r="23" spans="1:4">
      <c r="B23" s="2" t="s">
        <v>1216</v>
      </c>
      <c r="C23" s="2" t="s">
        <v>1217</v>
      </c>
      <c r="D23" t="s">
        <v>2204</v>
      </c>
    </row>
    <row r="24" spans="1:4" ht="43.2">
      <c r="C24" s="2" t="s">
        <v>1218</v>
      </c>
      <c r="D24" t="s">
        <v>2206</v>
      </c>
    </row>
    <row r="25" spans="1:4">
      <c r="B25" s="2" t="s">
        <v>1265</v>
      </c>
      <c r="C25" s="2" t="s">
        <v>1266</v>
      </c>
      <c r="D25" t="s">
        <v>2207</v>
      </c>
    </row>
    <row r="26" spans="1:4">
      <c r="A26" s="3">
        <v>9</v>
      </c>
      <c r="B26" s="7" t="s">
        <v>1264</v>
      </c>
      <c r="C26" s="2" t="s">
        <v>1219</v>
      </c>
      <c r="D26" t="s">
        <v>2209</v>
      </c>
    </row>
    <row r="27" spans="1:4" ht="43.2">
      <c r="A27" s="3">
        <v>10</v>
      </c>
      <c r="B27" s="2" t="s">
        <v>24</v>
      </c>
      <c r="C27" s="2" t="s">
        <v>1263</v>
      </c>
    </row>
    <row r="28" spans="1:4" ht="57.6">
      <c r="A28" s="3"/>
      <c r="C28" s="32" t="s">
        <v>2205</v>
      </c>
    </row>
    <row r="29" spans="1:4" ht="28.8">
      <c r="A29" s="3">
        <v>11</v>
      </c>
      <c r="B29" s="68" t="s">
        <v>25</v>
      </c>
      <c r="C29" s="2" t="s">
        <v>26</v>
      </c>
    </row>
    <row r="30" spans="1:4">
      <c r="A30" s="3">
        <v>12</v>
      </c>
      <c r="B30" s="70" t="s">
        <v>28</v>
      </c>
    </row>
    <row r="31" spans="1:4" ht="43.2">
      <c r="A31" s="3"/>
      <c r="C31" s="2" t="s">
        <v>27</v>
      </c>
    </row>
    <row r="32" spans="1:4" ht="28.8">
      <c r="B32" s="2" t="s">
        <v>1209</v>
      </c>
      <c r="C32" s="2" t="s">
        <v>1210</v>
      </c>
      <c r="D32" t="s">
        <v>2211</v>
      </c>
    </row>
    <row r="33" spans="1:4" ht="43.2">
      <c r="A33" s="3">
        <v>13</v>
      </c>
      <c r="B33" s="7" t="s">
        <v>1211</v>
      </c>
      <c r="C33" s="2" t="s">
        <v>1212</v>
      </c>
    </row>
    <row r="34" spans="1:4">
      <c r="A34" s="3"/>
      <c r="B34" s="7"/>
      <c r="C34" t="s">
        <v>2210</v>
      </c>
    </row>
    <row r="35" spans="1:4" ht="115.2">
      <c r="A35" s="3">
        <v>14</v>
      </c>
      <c r="B35" s="7"/>
      <c r="C35" s="2" t="s">
        <v>1213</v>
      </c>
    </row>
    <row r="36" spans="1:4" ht="45" customHeight="1">
      <c r="A36" s="3">
        <v>15</v>
      </c>
      <c r="B36" s="7"/>
      <c r="C36" s="2" t="s">
        <v>29</v>
      </c>
      <c r="D36" s="32" t="s">
        <v>2208</v>
      </c>
    </row>
    <row r="37" spans="1:4" ht="57.6">
      <c r="A37" s="3">
        <v>16</v>
      </c>
      <c r="B37" s="2" t="s">
        <v>30</v>
      </c>
      <c r="C37" s="2" t="s">
        <v>31</v>
      </c>
      <c r="D37" s="32" t="s">
        <v>490</v>
      </c>
    </row>
    <row r="38" spans="1:4" ht="43.2">
      <c r="A38" s="3">
        <v>17</v>
      </c>
      <c r="B38" s="68" t="s">
        <v>32</v>
      </c>
      <c r="C38" s="2" t="s">
        <v>33</v>
      </c>
      <c r="D38" s="2"/>
    </row>
    <row r="39" spans="1:4" ht="43.2">
      <c r="A39" s="3">
        <v>18</v>
      </c>
      <c r="B39" s="2" t="s">
        <v>34</v>
      </c>
      <c r="C39" s="2" t="s">
        <v>35</v>
      </c>
      <c r="D39" t="s">
        <v>2212</v>
      </c>
    </row>
    <row r="40" spans="1:4" ht="43.2">
      <c r="A40" s="3">
        <v>19</v>
      </c>
      <c r="B40" s="242" t="s">
        <v>36</v>
      </c>
      <c r="C40" s="2" t="s">
        <v>45</v>
      </c>
    </row>
    <row r="41" spans="1:4" ht="28.8">
      <c r="A41" s="3">
        <v>20</v>
      </c>
      <c r="B41" s="242"/>
      <c r="C41" s="2" t="s">
        <v>121</v>
      </c>
    </row>
    <row r="42" spans="1:4" ht="57.6">
      <c r="A42" s="3">
        <v>21</v>
      </c>
      <c r="B42" s="242"/>
      <c r="C42" s="2" t="s">
        <v>46</v>
      </c>
      <c r="D42" s="32" t="s">
        <v>2213</v>
      </c>
    </row>
    <row r="43" spans="1:4" ht="129.6">
      <c r="A43" s="3"/>
      <c r="B43" s="18" t="s">
        <v>122</v>
      </c>
      <c r="C43" s="2" t="s">
        <v>123</v>
      </c>
    </row>
    <row r="44" spans="1:4">
      <c r="A44" s="3"/>
      <c r="B44" s="18"/>
    </row>
    <row r="45" spans="1:4">
      <c r="A45" s="3"/>
      <c r="B45" s="18"/>
    </row>
    <row r="46" spans="1:4">
      <c r="A46" s="3"/>
      <c r="B46" s="70" t="s">
        <v>37</v>
      </c>
    </row>
    <row r="47" spans="1:4" ht="28.8">
      <c r="A47" s="3">
        <v>22</v>
      </c>
      <c r="B47" s="2" t="s">
        <v>1186</v>
      </c>
      <c r="C47" s="2" t="s">
        <v>1187</v>
      </c>
    </row>
    <row r="48" spans="1:4" ht="28.8">
      <c r="A48" s="3"/>
      <c r="B48" s="7" t="s">
        <v>1189</v>
      </c>
      <c r="C48" s="2" t="s">
        <v>1188</v>
      </c>
    </row>
    <row r="49" spans="1:4">
      <c r="A49" s="3"/>
      <c r="B49" s="7" t="s">
        <v>1190</v>
      </c>
      <c r="C49" s="2" t="s">
        <v>1198</v>
      </c>
    </row>
    <row r="50" spans="1:4" ht="28.8">
      <c r="A50" s="3"/>
      <c r="B50" s="7" t="s">
        <v>1191</v>
      </c>
      <c r="C50" s="2" t="s">
        <v>1199</v>
      </c>
    </row>
    <row r="51" spans="1:4">
      <c r="A51" s="3"/>
      <c r="B51" s="7" t="s">
        <v>1192</v>
      </c>
      <c r="C51" s="2" t="s">
        <v>1193</v>
      </c>
    </row>
    <row r="52" spans="1:4">
      <c r="A52" s="3"/>
      <c r="B52" s="7" t="s">
        <v>1194</v>
      </c>
      <c r="C52" s="2" t="s">
        <v>1197</v>
      </c>
    </row>
    <row r="53" spans="1:4">
      <c r="A53" s="3"/>
      <c r="B53" s="7" t="s">
        <v>1195</v>
      </c>
      <c r="C53" s="2" t="s">
        <v>1196</v>
      </c>
    </row>
    <row r="54" spans="1:4">
      <c r="A54" s="3">
        <v>23</v>
      </c>
      <c r="B54" s="70" t="s">
        <v>38</v>
      </c>
    </row>
    <row r="55" spans="1:4" ht="43.2">
      <c r="A55" s="3">
        <v>24</v>
      </c>
      <c r="B55" s="2" t="s">
        <v>1200</v>
      </c>
      <c r="C55" s="2" t="s">
        <v>1430</v>
      </c>
      <c r="D55" t="s">
        <v>2221</v>
      </c>
    </row>
    <row r="56" spans="1:4" ht="28.8">
      <c r="A56" s="3"/>
      <c r="B56" s="7" t="s">
        <v>1201</v>
      </c>
      <c r="C56" s="2" t="s">
        <v>1431</v>
      </c>
    </row>
    <row r="57" spans="1:4" ht="28.8">
      <c r="A57" s="3"/>
      <c r="B57" s="7" t="s">
        <v>1202</v>
      </c>
      <c r="C57" s="2" t="s">
        <v>1432</v>
      </c>
    </row>
    <row r="58" spans="1:4" ht="28.8">
      <c r="A58" s="3">
        <v>26</v>
      </c>
      <c r="B58" s="69" t="s">
        <v>39</v>
      </c>
    </row>
    <row r="59" spans="1:4">
      <c r="A59" s="3"/>
      <c r="B59" s="69"/>
      <c r="C59" s="2" t="s">
        <v>1205</v>
      </c>
    </row>
    <row r="60" spans="1:4" ht="43.2">
      <c r="A60" s="3"/>
      <c r="B60" s="18" t="s">
        <v>1203</v>
      </c>
      <c r="C60" s="2" t="s">
        <v>1204</v>
      </c>
    </row>
    <row r="61" spans="1:4" ht="72.45" customHeight="1">
      <c r="A61" s="3">
        <v>27</v>
      </c>
      <c r="B61" s="18" t="s">
        <v>1206</v>
      </c>
      <c r="C61" s="2" t="s">
        <v>1434</v>
      </c>
      <c r="D61" s="32" t="s">
        <v>2222</v>
      </c>
    </row>
    <row r="62" spans="1:4" ht="28.8">
      <c r="A62" s="3">
        <v>28</v>
      </c>
      <c r="B62" s="18" t="s">
        <v>1207</v>
      </c>
      <c r="C62" s="2" t="s">
        <v>1433</v>
      </c>
    </row>
    <row r="63" spans="1:4" ht="72">
      <c r="A63" s="3">
        <v>29</v>
      </c>
      <c r="B63" s="18"/>
      <c r="C63" s="2" t="s">
        <v>1435</v>
      </c>
    </row>
    <row r="64" spans="1:4" ht="43.2">
      <c r="A64" s="3">
        <v>30</v>
      </c>
      <c r="B64" s="18"/>
      <c r="C64" s="2" t="s">
        <v>1436</v>
      </c>
    </row>
    <row r="65" spans="1:4">
      <c r="A65" s="3">
        <v>31</v>
      </c>
      <c r="B65" s="7" t="s">
        <v>187</v>
      </c>
    </row>
    <row r="66" spans="1:4">
      <c r="A66" s="3"/>
      <c r="B66" s="7"/>
      <c r="C66" s="2" t="s">
        <v>1208</v>
      </c>
    </row>
    <row r="67" spans="1:4" ht="28.8">
      <c r="A67" s="3"/>
      <c r="B67" s="7"/>
      <c r="C67" s="2" t="s">
        <v>1437</v>
      </c>
    </row>
    <row r="68" spans="1:4" ht="28.8">
      <c r="A68" s="3"/>
      <c r="B68" s="7" t="s">
        <v>190</v>
      </c>
      <c r="C68" s="2" t="s">
        <v>1438</v>
      </c>
    </row>
    <row r="69" spans="1:4" ht="57.6">
      <c r="A69" s="3"/>
      <c r="B69" s="7" t="s">
        <v>188</v>
      </c>
      <c r="C69" s="2" t="s">
        <v>189</v>
      </c>
    </row>
    <row r="70" spans="1:4" ht="28.8">
      <c r="A70" s="3">
        <v>32</v>
      </c>
      <c r="B70" s="69" t="s">
        <v>40</v>
      </c>
    </row>
    <row r="71" spans="1:4" ht="57.6">
      <c r="A71" s="3"/>
      <c r="B71" s="2" t="s">
        <v>1267</v>
      </c>
      <c r="C71" s="2" t="s">
        <v>1439</v>
      </c>
    </row>
    <row r="72" spans="1:4" ht="28.8">
      <c r="A72" s="3">
        <v>33</v>
      </c>
      <c r="B72" s="18" t="s">
        <v>1268</v>
      </c>
      <c r="C72" s="2" t="s">
        <v>1440</v>
      </c>
    </row>
    <row r="73" spans="1:4">
      <c r="A73" s="3">
        <v>34</v>
      </c>
      <c r="B73" s="18" t="s">
        <v>1269</v>
      </c>
      <c r="C73" s="2" t="s">
        <v>1441</v>
      </c>
    </row>
    <row r="74" spans="1:4" ht="100.8">
      <c r="A74" s="3"/>
      <c r="B74" s="71" t="s">
        <v>191</v>
      </c>
      <c r="C74" s="2" t="s">
        <v>192</v>
      </c>
    </row>
    <row r="75" spans="1:4" ht="43.2">
      <c r="A75" s="3">
        <v>35</v>
      </c>
      <c r="B75" s="2" t="s">
        <v>47</v>
      </c>
      <c r="C75" s="2" t="s">
        <v>1442</v>
      </c>
    </row>
    <row r="77" spans="1:4">
      <c r="B77" s="68" t="s">
        <v>1220</v>
      </c>
    </row>
    <row r="78" spans="1:4">
      <c r="B78" s="2" t="s">
        <v>1221</v>
      </c>
      <c r="C78" s="2" t="s">
        <v>1222</v>
      </c>
    </row>
    <row r="79" spans="1:4">
      <c r="C79" t="s">
        <v>1223</v>
      </c>
    </row>
    <row r="80" spans="1:4" ht="72">
      <c r="B80" s="2" t="s">
        <v>1225</v>
      </c>
      <c r="C80" s="32" t="s">
        <v>1226</v>
      </c>
      <c r="D80" s="32" t="s">
        <v>2214</v>
      </c>
    </row>
    <row r="81" spans="2:6">
      <c r="B81" s="2" t="s">
        <v>1227</v>
      </c>
      <c r="C81"/>
    </row>
    <row r="82" spans="2:6" ht="72">
      <c r="B82" s="2" t="s">
        <v>1228</v>
      </c>
      <c r="C82" s="32" t="s">
        <v>1443</v>
      </c>
    </row>
    <row r="83" spans="2:6">
      <c r="B83" s="2" t="s">
        <v>1229</v>
      </c>
      <c r="C83" t="s">
        <v>1230</v>
      </c>
      <c r="D83" s="32" t="s">
        <v>2215</v>
      </c>
    </row>
    <row r="84" spans="2:6">
      <c r="B84" s="2" t="s">
        <v>1231</v>
      </c>
      <c r="C84" s="32" t="s">
        <v>1232</v>
      </c>
      <c r="D84" t="s">
        <v>2216</v>
      </c>
    </row>
    <row r="85" spans="2:6">
      <c r="C85" t="s">
        <v>1233</v>
      </c>
      <c r="D85" t="s">
        <v>2218</v>
      </c>
    </row>
    <row r="86" spans="2:6">
      <c r="C86" s="32" t="s">
        <v>1238</v>
      </c>
      <c r="D86" t="s">
        <v>2217</v>
      </c>
    </row>
    <row r="87" spans="2:6">
      <c r="B87" s="2" t="s">
        <v>1236</v>
      </c>
      <c r="C87" s="32" t="s">
        <v>1237</v>
      </c>
    </row>
    <row r="88" spans="2:6">
      <c r="B88" s="2" t="s">
        <v>1234</v>
      </c>
      <c r="C88" s="105" t="s">
        <v>1235</v>
      </c>
      <c r="D88" t="s">
        <v>2219</v>
      </c>
      <c r="F88" t="s">
        <v>1224</v>
      </c>
    </row>
    <row r="89" spans="2:6">
      <c r="C89"/>
    </row>
    <row r="90" spans="2:6" ht="18">
      <c r="B90" s="72" t="s">
        <v>1239</v>
      </c>
      <c r="C90"/>
    </row>
    <row r="91" spans="2:6" ht="43.2">
      <c r="B91" s="68" t="s">
        <v>1240</v>
      </c>
      <c r="C91" s="2" t="s">
        <v>1241</v>
      </c>
    </row>
    <row r="92" spans="2:6" ht="28.8">
      <c r="B92" s="2" t="s">
        <v>1244</v>
      </c>
      <c r="C92" s="2" t="s">
        <v>1243</v>
      </c>
    </row>
    <row r="93" spans="2:6" ht="43.2">
      <c r="B93" s="2" t="s">
        <v>1239</v>
      </c>
      <c r="C93" s="2" t="s">
        <v>1242</v>
      </c>
    </row>
    <row r="94" spans="2:6" ht="28.8">
      <c r="B94" s="2" t="s">
        <v>1246</v>
      </c>
      <c r="C94" s="2" t="s">
        <v>1245</v>
      </c>
      <c r="D94" t="s">
        <v>2220</v>
      </c>
    </row>
    <row r="96" spans="2:6" ht="28.8">
      <c r="B96" s="68" t="s">
        <v>1270</v>
      </c>
    </row>
    <row r="97" spans="2:3" ht="43.2">
      <c r="C97" s="2" t="s">
        <v>1271</v>
      </c>
    </row>
    <row r="98" spans="2:3" ht="57.6">
      <c r="B98" s="2" t="s">
        <v>1272</v>
      </c>
      <c r="C98" s="2" t="s">
        <v>1444</v>
      </c>
    </row>
    <row r="100" spans="2:3">
      <c r="B100" s="2" t="s">
        <v>1273</v>
      </c>
    </row>
    <row r="101" spans="2:3">
      <c r="C101" s="2" t="s">
        <v>1274</v>
      </c>
    </row>
    <row r="102" spans="2:3" ht="187.2">
      <c r="C102" s="2" t="s">
        <v>1275</v>
      </c>
    </row>
    <row r="104" spans="2:3">
      <c r="B104" s="68" t="s">
        <v>1247</v>
      </c>
    </row>
    <row r="105" spans="2:3" ht="28.8">
      <c r="B105" s="2" t="s">
        <v>1250</v>
      </c>
      <c r="C105" s="2" t="s">
        <v>1249</v>
      </c>
    </row>
    <row r="106" spans="2:3">
      <c r="B106" s="68"/>
    </row>
    <row r="107" spans="2:3">
      <c r="B107" s="2" t="s">
        <v>1248</v>
      </c>
    </row>
    <row r="108" spans="2:3" ht="57.6">
      <c r="C108" s="2" t="s">
        <v>1990</v>
      </c>
    </row>
    <row r="110" spans="2:3" ht="28.8">
      <c r="B110" s="2" t="s">
        <v>1251</v>
      </c>
      <c r="C110" s="2" t="s">
        <v>1252</v>
      </c>
    </row>
    <row r="111" spans="2:3" ht="43.2">
      <c r="B111" s="2" t="s">
        <v>1253</v>
      </c>
      <c r="C111" s="2" t="s">
        <v>1254</v>
      </c>
    </row>
    <row r="112" spans="2:3">
      <c r="B112" s="2" t="s">
        <v>1255</v>
      </c>
      <c r="C112" s="2" t="s">
        <v>1256</v>
      </c>
    </row>
    <row r="114" spans="1:5" ht="57.6">
      <c r="B114" s="2" t="s">
        <v>2223</v>
      </c>
      <c r="D114" s="32" t="s">
        <v>2224</v>
      </c>
    </row>
    <row r="117" spans="1:5" ht="29.4" thickBot="1">
      <c r="B117" s="2" t="s">
        <v>1445</v>
      </c>
    </row>
    <row r="118" spans="1:5" ht="15" thickBot="1">
      <c r="B118" s="65"/>
      <c r="C118" s="61" t="s">
        <v>1446</v>
      </c>
      <c r="D118" s="66" t="s">
        <v>1447</v>
      </c>
    </row>
    <row r="119" spans="1:5" ht="115.2">
      <c r="B119" s="62" t="s">
        <v>1448</v>
      </c>
      <c r="C119" s="84" t="s">
        <v>1449</v>
      </c>
      <c r="D119" s="85" t="s">
        <v>1450</v>
      </c>
      <c r="E119" s="32" t="s">
        <v>1451</v>
      </c>
    </row>
    <row r="120" spans="1:5" ht="43.2">
      <c r="B120" s="54" t="s">
        <v>1452</v>
      </c>
      <c r="C120" s="59"/>
      <c r="D120" s="90" t="s">
        <v>1453</v>
      </c>
    </row>
    <row r="121" spans="1:5">
      <c r="B121" s="54" t="s">
        <v>1454</v>
      </c>
      <c r="C121" s="59"/>
      <c r="D121" s="56"/>
    </row>
    <row r="122" spans="1:5" ht="129.6">
      <c r="B122" s="86" t="s">
        <v>1455</v>
      </c>
      <c r="C122" s="87"/>
      <c r="D122" s="89" t="s">
        <v>1456</v>
      </c>
    </row>
    <row r="123" spans="1:5">
      <c r="B123" s="86" t="s">
        <v>1457</v>
      </c>
      <c r="C123" s="87"/>
      <c r="D123" s="88" t="s">
        <v>1458</v>
      </c>
    </row>
    <row r="124" spans="1:5" ht="216">
      <c r="B124" s="86" t="s">
        <v>1459</v>
      </c>
      <c r="C124" s="87" t="s">
        <v>1460</v>
      </c>
      <c r="D124" s="91" t="s">
        <v>1461</v>
      </c>
    </row>
    <row r="125" spans="1:5" ht="28.8">
      <c r="B125" s="86" t="s">
        <v>1462</v>
      </c>
      <c r="C125" s="87"/>
      <c r="D125" s="92" t="s">
        <v>1463</v>
      </c>
    </row>
    <row r="126" spans="1:5">
      <c r="B126" s="86"/>
      <c r="C126" s="87"/>
      <c r="D126" s="92"/>
    </row>
    <row r="127" spans="1:5">
      <c r="B127" s="86"/>
      <c r="C127" s="87"/>
      <c r="D127" s="92"/>
    </row>
    <row r="128" spans="1:5">
      <c r="A128" s="1" t="s">
        <v>383</v>
      </c>
      <c r="B128" s="86"/>
      <c r="C128" s="87" t="s">
        <v>1465</v>
      </c>
      <c r="D128" s="90" t="s">
        <v>1464</v>
      </c>
    </row>
    <row r="129" spans="1:4">
      <c r="B129" s="86"/>
      <c r="C129" s="87" t="s">
        <v>1467</v>
      </c>
      <c r="D129" s="90" t="s">
        <v>1466</v>
      </c>
    </row>
    <row r="130" spans="1:4" ht="28.8">
      <c r="A130" s="1" t="s">
        <v>383</v>
      </c>
      <c r="B130" s="86"/>
      <c r="C130" s="87" t="s">
        <v>1469</v>
      </c>
      <c r="D130" s="90" t="s">
        <v>1468</v>
      </c>
    </row>
    <row r="131" spans="1:4" ht="28.8">
      <c r="B131" s="86"/>
      <c r="C131" s="87" t="s">
        <v>1471</v>
      </c>
      <c r="D131" s="90" t="s">
        <v>1470</v>
      </c>
    </row>
    <row r="132" spans="1:4" ht="43.2">
      <c r="B132" s="86"/>
      <c r="C132" s="87" t="s">
        <v>1473</v>
      </c>
      <c r="D132" s="90" t="s">
        <v>1472</v>
      </c>
    </row>
    <row r="133" spans="1:4" ht="15" thickBot="1">
      <c r="B133" s="55"/>
      <c r="C133" s="60"/>
      <c r="D133" s="58"/>
    </row>
    <row r="136" spans="1:4" ht="15" thickBot="1">
      <c r="A136" s="3"/>
    </row>
    <row r="137" spans="1:4" ht="15" thickBot="1">
      <c r="A137" s="3">
        <v>36</v>
      </c>
      <c r="B137" s="65"/>
      <c r="C137" s="61" t="s">
        <v>16</v>
      </c>
      <c r="D137" s="66" t="s">
        <v>169</v>
      </c>
    </row>
    <row r="138" spans="1:4">
      <c r="A138" s="3"/>
      <c r="B138" s="62" t="s">
        <v>124</v>
      </c>
      <c r="C138" s="63" t="s">
        <v>126</v>
      </c>
      <c r="D138" s="64"/>
    </row>
    <row r="139" spans="1:4">
      <c r="A139" s="3"/>
      <c r="B139" s="54" t="s">
        <v>127</v>
      </c>
      <c r="C139" s="59" t="s">
        <v>125</v>
      </c>
      <c r="D139" s="56" t="s">
        <v>485</v>
      </c>
    </row>
    <row r="140" spans="1:4">
      <c r="A140" s="3"/>
      <c r="B140" s="54" t="s">
        <v>128</v>
      </c>
      <c r="C140" s="59" t="s">
        <v>129</v>
      </c>
      <c r="D140" s="56" t="s">
        <v>130</v>
      </c>
    </row>
    <row r="141" spans="1:4">
      <c r="A141" s="3"/>
      <c r="B141" s="54" t="s">
        <v>131</v>
      </c>
      <c r="C141" s="59" t="s">
        <v>132</v>
      </c>
      <c r="D141" s="56" t="s">
        <v>133</v>
      </c>
    </row>
    <row r="142" spans="1:4">
      <c r="A142" s="3"/>
      <c r="B142" s="54" t="s">
        <v>134</v>
      </c>
      <c r="C142" s="59" t="s">
        <v>135</v>
      </c>
      <c r="D142" s="56" t="s">
        <v>136</v>
      </c>
    </row>
    <row r="143" spans="1:4">
      <c r="A143" s="3"/>
      <c r="B143" s="54" t="s">
        <v>137</v>
      </c>
      <c r="C143" s="59" t="s">
        <v>138</v>
      </c>
      <c r="D143" s="56" t="s">
        <v>139</v>
      </c>
    </row>
    <row r="144" spans="1:4">
      <c r="A144" s="3"/>
      <c r="B144" s="54" t="s">
        <v>175</v>
      </c>
      <c r="C144" s="59" t="s">
        <v>176</v>
      </c>
      <c r="D144" s="56"/>
    </row>
    <row r="145" spans="1:4">
      <c r="A145" s="3"/>
      <c r="B145" s="54" t="s">
        <v>140</v>
      </c>
      <c r="C145" s="59" t="s">
        <v>170</v>
      </c>
      <c r="D145" s="56" t="s">
        <v>141</v>
      </c>
    </row>
    <row r="146" spans="1:4">
      <c r="A146" s="3"/>
      <c r="B146" s="237" t="s">
        <v>171</v>
      </c>
      <c r="C146" s="59" t="s">
        <v>172</v>
      </c>
      <c r="D146" s="239" t="s">
        <v>173</v>
      </c>
    </row>
    <row r="147" spans="1:4">
      <c r="A147" s="3"/>
      <c r="B147" s="238"/>
      <c r="C147" s="59" t="s">
        <v>174</v>
      </c>
      <c r="D147" s="240"/>
    </row>
    <row r="148" spans="1:4">
      <c r="A148" s="3"/>
      <c r="B148" s="95" t="s">
        <v>177</v>
      </c>
      <c r="C148" s="59" t="s">
        <v>178</v>
      </c>
      <c r="D148" s="57"/>
    </row>
    <row r="149" spans="1:4">
      <c r="A149" s="3"/>
      <c r="B149" s="54" t="s">
        <v>142</v>
      </c>
      <c r="C149" s="59" t="s">
        <v>143</v>
      </c>
      <c r="D149" s="56" t="s">
        <v>144</v>
      </c>
    </row>
    <row r="150" spans="1:4">
      <c r="A150" s="3"/>
      <c r="B150" s="54" t="s">
        <v>145</v>
      </c>
      <c r="C150" s="59" t="s">
        <v>147</v>
      </c>
      <c r="D150" s="56" t="s">
        <v>146</v>
      </c>
    </row>
    <row r="151" spans="1:4">
      <c r="A151" s="3"/>
      <c r="B151" s="54" t="s">
        <v>148</v>
      </c>
      <c r="C151" s="59" t="s">
        <v>149</v>
      </c>
      <c r="D151" s="56" t="s">
        <v>150</v>
      </c>
    </row>
    <row r="152" spans="1:4">
      <c r="A152" s="3"/>
      <c r="B152" s="54" t="s">
        <v>151</v>
      </c>
      <c r="C152" s="59" t="s">
        <v>152</v>
      </c>
      <c r="D152" s="56" t="s">
        <v>153</v>
      </c>
    </row>
    <row r="153" spans="1:4">
      <c r="A153" s="3"/>
      <c r="B153" s="54" t="s">
        <v>154</v>
      </c>
      <c r="C153" s="59" t="s">
        <v>155</v>
      </c>
      <c r="D153" s="56" t="s">
        <v>156</v>
      </c>
    </row>
    <row r="154" spans="1:4">
      <c r="A154" s="3"/>
      <c r="B154" s="54" t="s">
        <v>157</v>
      </c>
      <c r="C154" s="59" t="s">
        <v>158</v>
      </c>
      <c r="D154" s="56" t="s">
        <v>159</v>
      </c>
    </row>
    <row r="155" spans="1:4">
      <c r="A155" s="3"/>
      <c r="B155" s="54" t="s">
        <v>160</v>
      </c>
      <c r="C155" s="59" t="s">
        <v>161</v>
      </c>
      <c r="D155" s="56" t="s">
        <v>162</v>
      </c>
    </row>
    <row r="156" spans="1:4">
      <c r="A156" s="3"/>
      <c r="B156" s="54" t="s">
        <v>163</v>
      </c>
      <c r="C156" s="59" t="s">
        <v>164</v>
      </c>
      <c r="D156" s="56" t="s">
        <v>165</v>
      </c>
    </row>
    <row r="157" spans="1:4" ht="15" thickBot="1">
      <c r="A157" s="3"/>
      <c r="B157" s="55" t="s">
        <v>166</v>
      </c>
      <c r="C157" s="60" t="s">
        <v>167</v>
      </c>
      <c r="D157" s="58" t="s">
        <v>168</v>
      </c>
    </row>
    <row r="158" spans="1:4">
      <c r="A158" s="3"/>
    </row>
    <row r="159" spans="1:4">
      <c r="A159" s="3">
        <v>37</v>
      </c>
      <c r="B159" s="2" t="s">
        <v>179</v>
      </c>
    </row>
    <row r="160" spans="1:4">
      <c r="A160" s="3"/>
      <c r="B160" s="2" t="s">
        <v>180</v>
      </c>
      <c r="C160" s="2" t="s">
        <v>181</v>
      </c>
    </row>
    <row r="161" spans="1:4">
      <c r="A161" s="3"/>
      <c r="B161" s="2" t="s">
        <v>182</v>
      </c>
      <c r="C161" s="2" t="s">
        <v>182</v>
      </c>
    </row>
    <row r="162" spans="1:4" ht="28.8">
      <c r="B162" s="2" t="s">
        <v>184</v>
      </c>
      <c r="C162" s="2" t="s">
        <v>183</v>
      </c>
    </row>
    <row r="163" spans="1:4" ht="43.2">
      <c r="B163" s="2" t="s">
        <v>185</v>
      </c>
      <c r="C163" s="2" t="s">
        <v>186</v>
      </c>
    </row>
    <row r="165" spans="1:4" ht="28.8">
      <c r="A165" s="1" t="s">
        <v>1135</v>
      </c>
      <c r="B165" s="2" t="s">
        <v>1137</v>
      </c>
      <c r="C165" s="2" t="s">
        <v>1138</v>
      </c>
    </row>
    <row r="166" spans="1:4">
      <c r="C166" s="2" t="s">
        <v>1139</v>
      </c>
    </row>
    <row r="167" spans="1:4">
      <c r="C167" s="2" t="s">
        <v>1140</v>
      </c>
    </row>
    <row r="168" spans="1:4">
      <c r="C168" s="2" t="s">
        <v>1141</v>
      </c>
    </row>
    <row r="171" spans="1:4">
      <c r="A171" s="236">
        <v>39</v>
      </c>
      <c r="B171" s="235" t="s">
        <v>525</v>
      </c>
      <c r="C171" t="s">
        <v>544</v>
      </c>
    </row>
    <row r="172" spans="1:4">
      <c r="A172" s="236"/>
      <c r="B172" s="235"/>
      <c r="C172" t="s">
        <v>526</v>
      </c>
    </row>
    <row r="173" spans="1:4" ht="15" thickBot="1"/>
    <row r="174" spans="1:4" ht="115.2">
      <c r="A174" s="1" t="s">
        <v>1136</v>
      </c>
      <c r="B174" s="36" t="s">
        <v>48</v>
      </c>
      <c r="C174" s="36" t="s">
        <v>527</v>
      </c>
      <c r="D174" s="42"/>
    </row>
    <row r="175" spans="1:4" ht="115.2">
      <c r="B175" s="37"/>
      <c r="C175" s="37" t="s">
        <v>528</v>
      </c>
      <c r="D175" s="43" t="s">
        <v>539</v>
      </c>
    </row>
    <row r="176" spans="1:4" ht="172.8">
      <c r="B176" s="37"/>
      <c r="C176" s="37" t="s">
        <v>529</v>
      </c>
      <c r="D176" s="43" t="s">
        <v>538</v>
      </c>
    </row>
    <row r="177" spans="2:4" ht="72">
      <c r="B177" s="37"/>
      <c r="C177" s="37" t="s">
        <v>530</v>
      </c>
      <c r="D177" s="32" t="s">
        <v>540</v>
      </c>
    </row>
    <row r="178" spans="2:4" ht="15" thickBot="1">
      <c r="B178" s="37"/>
      <c r="C178" s="37"/>
      <c r="D178" s="40"/>
    </row>
    <row r="179" spans="2:4" ht="129.6">
      <c r="B179" s="37"/>
      <c r="C179" s="37" t="s">
        <v>531</v>
      </c>
      <c r="D179" s="39" t="s">
        <v>541</v>
      </c>
    </row>
    <row r="180" spans="2:4" ht="187.2">
      <c r="B180" s="37"/>
      <c r="C180" s="37" t="s">
        <v>532</v>
      </c>
    </row>
    <row r="181" spans="2:4">
      <c r="B181" s="37"/>
      <c r="C181" s="37"/>
      <c r="D181" s="40"/>
    </row>
    <row r="182" spans="2:4" ht="144">
      <c r="B182" s="37"/>
      <c r="C182" s="37" t="s">
        <v>533</v>
      </c>
      <c r="D182" s="40"/>
    </row>
    <row r="183" spans="2:4" ht="100.8">
      <c r="B183" s="37"/>
      <c r="C183" s="37" t="s">
        <v>534</v>
      </c>
      <c r="D183" s="40"/>
    </row>
    <row r="184" spans="2:4" ht="58.2" thickBot="1">
      <c r="B184" s="38"/>
      <c r="C184" s="38" t="s">
        <v>535</v>
      </c>
      <c r="D184" s="41"/>
    </row>
    <row r="186" spans="2:4" ht="18">
      <c r="B186" s="72" t="s">
        <v>2052</v>
      </c>
    </row>
    <row r="187" spans="2:4" ht="28.8">
      <c r="C187" s="2" t="s">
        <v>2053</v>
      </c>
    </row>
    <row r="188" spans="2:4" ht="28.8">
      <c r="C188" s="2" t="s">
        <v>2054</v>
      </c>
    </row>
    <row r="190" spans="2:4">
      <c r="B190" s="2" t="s">
        <v>2055</v>
      </c>
    </row>
    <row r="191" spans="2:4">
      <c r="B191" s="2" t="s">
        <v>2056</v>
      </c>
      <c r="C191" s="2" t="s">
        <v>2058</v>
      </c>
    </row>
    <row r="192" spans="2:4">
      <c r="B192" s="2" t="s">
        <v>2057</v>
      </c>
      <c r="C192" s="2" t="s">
        <v>2059</v>
      </c>
    </row>
    <row r="194" spans="2:3">
      <c r="B194" s="2" t="s">
        <v>2061</v>
      </c>
    </row>
    <row r="195" spans="2:3">
      <c r="B195" s="2" t="s">
        <v>2060</v>
      </c>
      <c r="C195" s="2" t="s">
        <v>2062</v>
      </c>
    </row>
    <row r="196" spans="2:3">
      <c r="C196" s="2" t="s">
        <v>2064</v>
      </c>
    </row>
    <row r="197" spans="2:3" ht="28.8">
      <c r="C197" s="2" t="s">
        <v>2070</v>
      </c>
    </row>
    <row r="198" spans="2:3" ht="28.8">
      <c r="C198" s="2" t="s">
        <v>2063</v>
      </c>
    </row>
    <row r="200" spans="2:3" ht="28.8">
      <c r="B200" s="2" t="s">
        <v>2065</v>
      </c>
      <c r="C200" s="2" t="s">
        <v>2064</v>
      </c>
    </row>
    <row r="201" spans="2:3" ht="46.8">
      <c r="C201" s="2" t="s">
        <v>2180</v>
      </c>
    </row>
    <row r="202" spans="2:3" ht="46.8">
      <c r="B202" s="2" t="s">
        <v>2066</v>
      </c>
      <c r="C202" s="2" t="s">
        <v>2181</v>
      </c>
    </row>
    <row r="203" spans="2:3" ht="46.8">
      <c r="B203" s="2" t="s">
        <v>2067</v>
      </c>
      <c r="C203" s="2" t="s">
        <v>2182</v>
      </c>
    </row>
    <row r="204" spans="2:3" ht="57.6">
      <c r="B204" s="2" t="s">
        <v>2068</v>
      </c>
      <c r="C204" s="2" t="s">
        <v>2069</v>
      </c>
    </row>
    <row r="205" spans="2:3" ht="69">
      <c r="B205" s="2" t="s">
        <v>2071</v>
      </c>
      <c r="C205" s="2" t="s">
        <v>2072</v>
      </c>
    </row>
    <row r="206" spans="2:3" ht="28.8">
      <c r="B206" s="2" t="s">
        <v>2073</v>
      </c>
      <c r="C206" s="102" t="s">
        <v>2074</v>
      </c>
    </row>
    <row r="207" spans="2:3" ht="69">
      <c r="B207" s="2" t="s">
        <v>2075</v>
      </c>
      <c r="C207" s="2" t="s">
        <v>2076</v>
      </c>
    </row>
  </sheetData>
  <mergeCells count="10">
    <mergeCell ref="B171:B172"/>
    <mergeCell ref="A171:A172"/>
    <mergeCell ref="B146:B147"/>
    <mergeCell ref="D146:D147"/>
    <mergeCell ref="B3:B6"/>
    <mergeCell ref="A3:A6"/>
    <mergeCell ref="B18:B19"/>
    <mergeCell ref="B40:B42"/>
    <mergeCell ref="B7:B10"/>
    <mergeCell ref="A7:A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63"/>
  <sheetViews>
    <sheetView topLeftCell="A321" workbookViewId="0">
      <selection activeCell="B284" sqref="B284"/>
    </sheetView>
  </sheetViews>
  <sheetFormatPr defaultRowHeight="14.4"/>
  <cols>
    <col min="1" max="1" width="7.77734375" style="1" customWidth="1"/>
    <col min="2" max="2" width="41.6640625" style="96" bestFit="1" customWidth="1"/>
    <col min="3" max="3" width="75.33203125" style="2" bestFit="1" customWidth="1"/>
    <col min="4" max="4" width="29.109375" customWidth="1"/>
  </cols>
  <sheetData>
    <row r="1" spans="1:12" ht="21">
      <c r="A1" s="4" t="s">
        <v>49</v>
      </c>
      <c r="B1" s="99" t="s">
        <v>50</v>
      </c>
      <c r="C1" s="5" t="s">
        <v>51</v>
      </c>
      <c r="D1" s="5"/>
      <c r="E1" s="5"/>
      <c r="F1" s="5"/>
      <c r="G1" s="5"/>
      <c r="H1" s="5"/>
      <c r="I1" s="5"/>
      <c r="J1" s="5"/>
      <c r="K1" s="5"/>
      <c r="L1" s="6"/>
    </row>
    <row r="2" spans="1:12">
      <c r="A2" s="3">
        <v>1</v>
      </c>
    </row>
    <row r="3" spans="1:12" ht="100.8">
      <c r="A3" s="3">
        <v>2</v>
      </c>
      <c r="B3" s="96" t="s">
        <v>272</v>
      </c>
      <c r="C3" s="2" t="s">
        <v>2183</v>
      </c>
      <c r="D3" t="s">
        <v>274</v>
      </c>
    </row>
    <row r="4" spans="1:12" ht="115.2">
      <c r="A4" s="3">
        <v>3</v>
      </c>
      <c r="B4" s="96" t="s">
        <v>273</v>
      </c>
      <c r="C4" s="2" t="s">
        <v>2184</v>
      </c>
    </row>
    <row r="5" spans="1:12">
      <c r="A5" s="3">
        <v>4</v>
      </c>
      <c r="B5" s="96" t="s">
        <v>275</v>
      </c>
      <c r="C5" s="2" t="s">
        <v>276</v>
      </c>
    </row>
    <row r="6" spans="1:12" ht="43.2">
      <c r="A6" s="3">
        <v>5</v>
      </c>
      <c r="B6" s="96" t="s">
        <v>277</v>
      </c>
      <c r="C6" s="2" t="s">
        <v>278</v>
      </c>
    </row>
    <row r="7" spans="1:12">
      <c r="A7" s="3">
        <v>6</v>
      </c>
    </row>
    <row r="8" spans="1:12" ht="28.8">
      <c r="A8" s="3">
        <v>7</v>
      </c>
      <c r="B8" s="96" t="s">
        <v>1391</v>
      </c>
      <c r="C8" s="2" t="s">
        <v>1392</v>
      </c>
    </row>
    <row r="9" spans="1:12">
      <c r="A9" s="3"/>
    </row>
    <row r="10" spans="1:12" ht="18">
      <c r="A10" s="3">
        <v>8</v>
      </c>
      <c r="B10" s="100" t="s">
        <v>1482</v>
      </c>
      <c r="C10" s="2" t="s">
        <v>1611</v>
      </c>
    </row>
    <row r="12" spans="1:12">
      <c r="A12" s="1" t="s">
        <v>1610</v>
      </c>
    </row>
    <row r="284" spans="1:3" ht="18">
      <c r="B284" s="100" t="s">
        <v>1482</v>
      </c>
      <c r="C284" s="104" t="s">
        <v>1618</v>
      </c>
    </row>
    <row r="285" spans="1:3">
      <c r="A285" s="3"/>
    </row>
    <row r="286" spans="1:3">
      <c r="A286" s="3"/>
      <c r="B286" s="103" t="s">
        <v>1488</v>
      </c>
      <c r="C286" s="2" t="s">
        <v>1483</v>
      </c>
    </row>
    <row r="287" spans="1:3">
      <c r="A287" s="3"/>
      <c r="B287" s="103" t="s">
        <v>1489</v>
      </c>
      <c r="C287" s="2" t="s">
        <v>1484</v>
      </c>
    </row>
    <row r="288" spans="1:3">
      <c r="A288" s="3"/>
      <c r="B288" s="103" t="s">
        <v>1490</v>
      </c>
      <c r="C288" s="2" t="s">
        <v>1485</v>
      </c>
    </row>
    <row r="289" spans="1:3">
      <c r="A289" s="3"/>
      <c r="B289" s="103" t="s">
        <v>1491</v>
      </c>
      <c r="C289" s="2" t="s">
        <v>1486</v>
      </c>
    </row>
    <row r="290" spans="1:3">
      <c r="A290" s="3"/>
      <c r="B290" s="103" t="s">
        <v>1492</v>
      </c>
      <c r="C290" s="2" t="s">
        <v>1487</v>
      </c>
    </row>
    <row r="291" spans="1:3">
      <c r="A291" s="3"/>
    </row>
    <row r="292" spans="1:3">
      <c r="A292" s="3"/>
      <c r="B292" s="71" t="s">
        <v>1488</v>
      </c>
      <c r="C292" s="104" t="s">
        <v>1617</v>
      </c>
    </row>
    <row r="293" spans="1:3" ht="28.8">
      <c r="A293" s="3"/>
      <c r="B293" s="101" t="s">
        <v>1493</v>
      </c>
      <c r="C293" s="2" t="s">
        <v>1494</v>
      </c>
    </row>
    <row r="294" spans="1:3" ht="28.8">
      <c r="A294" s="3"/>
      <c r="B294" s="101" t="s">
        <v>1495</v>
      </c>
      <c r="C294" s="2" t="s">
        <v>1496</v>
      </c>
    </row>
    <row r="295" spans="1:3" ht="28.8">
      <c r="A295" s="3"/>
      <c r="B295" s="101" t="s">
        <v>1497</v>
      </c>
      <c r="C295" s="2" t="s">
        <v>1498</v>
      </c>
    </row>
    <row r="296" spans="1:3" ht="43.2">
      <c r="A296" s="3"/>
      <c r="B296" s="101" t="s">
        <v>1499</v>
      </c>
      <c r="C296" s="2" t="s">
        <v>1500</v>
      </c>
    </row>
    <row r="297" spans="1:3">
      <c r="A297" s="3"/>
    </row>
    <row r="298" spans="1:3">
      <c r="A298" s="3"/>
      <c r="B298" s="71" t="s">
        <v>1489</v>
      </c>
      <c r="C298" s="104" t="s">
        <v>1617</v>
      </c>
    </row>
    <row r="299" spans="1:3" ht="115.2">
      <c r="A299" s="3"/>
      <c r="B299" s="101" t="s">
        <v>1501</v>
      </c>
      <c r="C299" s="2" t="s">
        <v>1506</v>
      </c>
    </row>
    <row r="300" spans="1:3" ht="28.8">
      <c r="A300" s="3"/>
      <c r="B300" s="101" t="s">
        <v>1502</v>
      </c>
      <c r="C300" s="2" t="s">
        <v>1503</v>
      </c>
    </row>
    <row r="301" spans="1:3" ht="57.6">
      <c r="A301" s="3"/>
      <c r="B301" s="98" t="s">
        <v>1504</v>
      </c>
      <c r="C301" s="2" t="s">
        <v>1613</v>
      </c>
    </row>
    <row r="302" spans="1:3" ht="57.6">
      <c r="A302" s="3"/>
      <c r="B302" s="98" t="s">
        <v>1505</v>
      </c>
      <c r="C302" s="2" t="s">
        <v>1507</v>
      </c>
    </row>
    <row r="303" spans="1:3" ht="28.8">
      <c r="A303" s="3"/>
      <c r="B303" s="98" t="s">
        <v>1508</v>
      </c>
      <c r="C303" s="2" t="s">
        <v>1614</v>
      </c>
    </row>
    <row r="304" spans="1:3">
      <c r="A304" s="3"/>
      <c r="B304" s="98" t="s">
        <v>1509</v>
      </c>
      <c r="C304" s="2" t="s">
        <v>1510</v>
      </c>
    </row>
    <row r="305" spans="1:3" ht="28.8">
      <c r="A305" s="3"/>
      <c r="B305" s="98" t="s">
        <v>1511</v>
      </c>
      <c r="C305" s="2" t="s">
        <v>1615</v>
      </c>
    </row>
    <row r="306" spans="1:3" ht="28.8">
      <c r="A306" s="3"/>
      <c r="B306" s="98" t="s">
        <v>1512</v>
      </c>
      <c r="C306" s="2" t="s">
        <v>1513</v>
      </c>
    </row>
    <row r="307" spans="1:3" ht="28.8">
      <c r="A307" s="3"/>
      <c r="B307" s="101" t="s">
        <v>1514</v>
      </c>
      <c r="C307" s="2" t="s">
        <v>1516</v>
      </c>
    </row>
    <row r="308" spans="1:3" ht="43.2">
      <c r="A308" s="3"/>
      <c r="B308" s="98" t="s">
        <v>1515</v>
      </c>
      <c r="C308" s="2" t="s">
        <v>1517</v>
      </c>
    </row>
    <row r="309" spans="1:3">
      <c r="A309" s="3"/>
    </row>
    <row r="310" spans="1:3">
      <c r="A310" s="3"/>
      <c r="B310" s="71" t="s">
        <v>1490</v>
      </c>
      <c r="C310" s="104" t="s">
        <v>1617</v>
      </c>
    </row>
    <row r="311" spans="1:3" ht="43.2">
      <c r="A311" s="3"/>
      <c r="B311" s="98" t="s">
        <v>1518</v>
      </c>
      <c r="C311" s="2" t="s">
        <v>1519</v>
      </c>
    </row>
    <row r="312" spans="1:3" ht="28.8">
      <c r="A312" s="3"/>
      <c r="B312" s="98" t="s">
        <v>1520</v>
      </c>
      <c r="C312" s="2" t="s">
        <v>1616</v>
      </c>
    </row>
    <row r="313" spans="1:3" ht="43.2">
      <c r="A313" s="3"/>
      <c r="B313" s="98" t="s">
        <v>1521</v>
      </c>
      <c r="C313" s="2" t="s">
        <v>1522</v>
      </c>
    </row>
    <row r="314" spans="1:3" ht="28.8">
      <c r="A314" s="3"/>
      <c r="B314" s="98" t="s">
        <v>1523</v>
      </c>
      <c r="C314" s="2" t="s">
        <v>1525</v>
      </c>
    </row>
    <row r="315" spans="1:3" ht="28.8">
      <c r="A315" s="3"/>
      <c r="B315" s="98" t="s">
        <v>1526</v>
      </c>
      <c r="C315" s="2" t="s">
        <v>1524</v>
      </c>
    </row>
    <row r="316" spans="1:3" ht="57.6">
      <c r="A316" s="3"/>
      <c r="B316" s="98" t="s">
        <v>1527</v>
      </c>
      <c r="C316" s="2" t="s">
        <v>1528</v>
      </c>
    </row>
    <row r="317" spans="1:3" ht="28.8">
      <c r="A317" s="3"/>
      <c r="B317" s="98" t="s">
        <v>1529</v>
      </c>
      <c r="C317" s="2" t="s">
        <v>1530</v>
      </c>
    </row>
    <row r="318" spans="1:3" ht="72">
      <c r="A318" s="3"/>
      <c r="B318" s="98" t="s">
        <v>1531</v>
      </c>
      <c r="C318" s="2" t="s">
        <v>1532</v>
      </c>
    </row>
    <row r="319" spans="1:3" ht="72">
      <c r="A319" s="3"/>
      <c r="B319" s="98" t="s">
        <v>1533</v>
      </c>
      <c r="C319" s="2" t="s">
        <v>1534</v>
      </c>
    </row>
    <row r="320" spans="1:3">
      <c r="A320" s="3"/>
    </row>
    <row r="321" spans="1:3">
      <c r="A321" s="3"/>
      <c r="B321" s="71" t="s">
        <v>1491</v>
      </c>
      <c r="C321" s="104" t="s">
        <v>1617</v>
      </c>
    </row>
    <row r="322" spans="1:3" ht="43.2">
      <c r="A322" s="3"/>
      <c r="B322" s="98" t="s">
        <v>1535</v>
      </c>
      <c r="C322" s="2" t="s">
        <v>1619</v>
      </c>
    </row>
    <row r="323" spans="1:3" ht="43.2">
      <c r="A323" s="3"/>
      <c r="B323" s="98" t="s">
        <v>1536</v>
      </c>
      <c r="C323" s="2" t="s">
        <v>1537</v>
      </c>
    </row>
    <row r="324" spans="1:3" ht="43.2">
      <c r="A324" s="3"/>
      <c r="B324" s="98" t="s">
        <v>1538</v>
      </c>
      <c r="C324" s="2" t="s">
        <v>1620</v>
      </c>
    </row>
    <row r="325" spans="1:3" ht="43.2">
      <c r="A325" s="3"/>
      <c r="B325" s="98" t="s">
        <v>1539</v>
      </c>
      <c r="C325" s="2" t="s">
        <v>1540</v>
      </c>
    </row>
    <row r="326" spans="1:3" ht="72">
      <c r="A326" s="3"/>
      <c r="B326" s="98" t="s">
        <v>1541</v>
      </c>
      <c r="C326" s="2" t="s">
        <v>1578</v>
      </c>
    </row>
    <row r="327" spans="1:3" ht="28.8">
      <c r="A327" s="3"/>
      <c r="B327" s="98" t="s">
        <v>1542</v>
      </c>
      <c r="C327" s="2" t="s">
        <v>1621</v>
      </c>
    </row>
    <row r="328" spans="1:3" ht="43.2">
      <c r="A328" s="3"/>
      <c r="B328" s="98" t="s">
        <v>1543</v>
      </c>
      <c r="C328" s="2" t="s">
        <v>1622</v>
      </c>
    </row>
    <row r="329" spans="1:3">
      <c r="A329" s="3"/>
      <c r="B329" s="98" t="s">
        <v>1544</v>
      </c>
      <c r="C329" s="2" t="s">
        <v>1545</v>
      </c>
    </row>
    <row r="330" spans="1:3" ht="72">
      <c r="A330" s="3"/>
      <c r="B330" s="98" t="s">
        <v>1546</v>
      </c>
      <c r="C330" s="2" t="s">
        <v>1547</v>
      </c>
    </row>
    <row r="331" spans="1:3">
      <c r="A331" s="3"/>
      <c r="B331" s="98" t="s">
        <v>1548</v>
      </c>
      <c r="C331" s="2" t="s">
        <v>1549</v>
      </c>
    </row>
    <row r="332" spans="1:3" ht="72">
      <c r="B332" s="98" t="s">
        <v>1550</v>
      </c>
      <c r="C332" s="2" t="s">
        <v>1551</v>
      </c>
    </row>
    <row r="333" spans="1:3" ht="28.8">
      <c r="B333" s="98" t="s">
        <v>1552</v>
      </c>
      <c r="C333" s="2" t="s">
        <v>1553</v>
      </c>
    </row>
    <row r="334" spans="1:3">
      <c r="B334" s="98" t="s">
        <v>1554</v>
      </c>
      <c r="C334" s="2" t="s">
        <v>1555</v>
      </c>
    </row>
    <row r="335" spans="1:3" ht="28.8">
      <c r="B335" s="98" t="s">
        <v>1556</v>
      </c>
      <c r="C335" s="2" t="s">
        <v>1557</v>
      </c>
    </row>
    <row r="336" spans="1:3">
      <c r="B336" s="98" t="s">
        <v>1558</v>
      </c>
      <c r="C336" s="2" t="s">
        <v>1559</v>
      </c>
    </row>
    <row r="337" spans="1:3" ht="28.8">
      <c r="B337" s="98" t="s">
        <v>1560</v>
      </c>
      <c r="C337" s="2" t="s">
        <v>1561</v>
      </c>
    </row>
    <row r="338" spans="1:3" ht="28.8">
      <c r="B338" s="98" t="s">
        <v>1562</v>
      </c>
      <c r="C338" s="2" t="s">
        <v>1563</v>
      </c>
    </row>
    <row r="339" spans="1:3" ht="28.8">
      <c r="B339" s="98" t="s">
        <v>1564</v>
      </c>
      <c r="C339" s="2" t="s">
        <v>1565</v>
      </c>
    </row>
    <row r="340" spans="1:3">
      <c r="B340" s="98" t="s">
        <v>1566</v>
      </c>
      <c r="C340" s="2" t="s">
        <v>1567</v>
      </c>
    </row>
    <row r="341" spans="1:3" ht="43.2">
      <c r="B341" s="98" t="s">
        <v>1568</v>
      </c>
      <c r="C341" s="2" t="s">
        <v>1569</v>
      </c>
    </row>
    <row r="342" spans="1:3">
      <c r="B342" s="98" t="s">
        <v>1570</v>
      </c>
      <c r="C342" s="2" t="s">
        <v>1571</v>
      </c>
    </row>
    <row r="343" spans="1:3">
      <c r="B343" s="98" t="s">
        <v>1572</v>
      </c>
      <c r="C343" s="2" t="s">
        <v>1573</v>
      </c>
    </row>
    <row r="344" spans="1:3">
      <c r="B344" s="98" t="s">
        <v>1574</v>
      </c>
      <c r="C344" s="2" t="s">
        <v>1575</v>
      </c>
    </row>
    <row r="345" spans="1:3">
      <c r="B345" s="98" t="s">
        <v>1576</v>
      </c>
      <c r="C345" s="2" t="s">
        <v>1577</v>
      </c>
    </row>
    <row r="346" spans="1:3" ht="43.2">
      <c r="B346" s="98" t="s">
        <v>1579</v>
      </c>
      <c r="C346" s="2" t="s">
        <v>1580</v>
      </c>
    </row>
    <row r="347" spans="1:3" ht="57.6">
      <c r="B347" s="98" t="s">
        <v>1581</v>
      </c>
      <c r="C347" s="2" t="s">
        <v>1582</v>
      </c>
    </row>
    <row r="348" spans="1:3">
      <c r="B348" s="98" t="s">
        <v>1583</v>
      </c>
      <c r="C348" s="2" t="s">
        <v>1584</v>
      </c>
    </row>
    <row r="349" spans="1:3" ht="28.8">
      <c r="B349" s="98" t="s">
        <v>1585</v>
      </c>
      <c r="C349" s="2" t="s">
        <v>1586</v>
      </c>
    </row>
    <row r="350" spans="1:3" ht="28.8">
      <c r="B350" s="98" t="s">
        <v>1587</v>
      </c>
      <c r="C350" s="2" t="s">
        <v>1588</v>
      </c>
    </row>
    <row r="352" spans="1:3">
      <c r="A352" s="3"/>
      <c r="B352" s="71" t="s">
        <v>1492</v>
      </c>
      <c r="C352" s="104" t="s">
        <v>1617</v>
      </c>
    </row>
    <row r="353" spans="1:3">
      <c r="A353" s="3"/>
      <c r="B353" s="98" t="s">
        <v>1589</v>
      </c>
      <c r="C353" s="2" t="s">
        <v>1590</v>
      </c>
    </row>
    <row r="354" spans="1:3" ht="43.2">
      <c r="A354" s="3"/>
      <c r="B354" s="98" t="s">
        <v>1591</v>
      </c>
      <c r="C354" s="2" t="s">
        <v>1592</v>
      </c>
    </row>
    <row r="355" spans="1:3" ht="28.8">
      <c r="A355" s="3"/>
      <c r="B355" s="98" t="s">
        <v>1593</v>
      </c>
      <c r="C355" s="2" t="s">
        <v>1594</v>
      </c>
    </row>
    <row r="356" spans="1:3" ht="100.8">
      <c r="A356" s="3"/>
      <c r="B356" s="98" t="s">
        <v>1595</v>
      </c>
      <c r="C356" s="2" t="s">
        <v>1596</v>
      </c>
    </row>
    <row r="357" spans="1:3" ht="28.8">
      <c r="A357" s="3"/>
      <c r="B357" s="98" t="s">
        <v>1597</v>
      </c>
      <c r="C357" s="2" t="s">
        <v>1612</v>
      </c>
    </row>
    <row r="358" spans="1:3">
      <c r="A358" s="3"/>
      <c r="B358" s="98" t="s">
        <v>1598</v>
      </c>
      <c r="C358" s="2" t="s">
        <v>1599</v>
      </c>
    </row>
    <row r="359" spans="1:3" ht="43.2">
      <c r="A359" s="3"/>
      <c r="B359" s="98" t="s">
        <v>1600</v>
      </c>
      <c r="C359" s="2" t="s">
        <v>1601</v>
      </c>
    </row>
    <row r="360" spans="1:3" ht="28.8">
      <c r="A360" s="3"/>
      <c r="B360" s="98" t="s">
        <v>1602</v>
      </c>
      <c r="C360" s="2" t="s">
        <v>1603</v>
      </c>
    </row>
    <row r="361" spans="1:3">
      <c r="A361" s="3"/>
      <c r="B361" s="98" t="s">
        <v>1604</v>
      </c>
      <c r="C361" s="2" t="s">
        <v>1605</v>
      </c>
    </row>
    <row r="362" spans="1:3">
      <c r="A362" s="3"/>
      <c r="B362" s="98" t="s">
        <v>1606</v>
      </c>
      <c r="C362" s="2" t="s">
        <v>1607</v>
      </c>
    </row>
    <row r="363" spans="1:3">
      <c r="A363" s="3"/>
      <c r="B363" s="98" t="s">
        <v>1608</v>
      </c>
      <c r="C363" s="102" t="s">
        <v>1609</v>
      </c>
    </row>
  </sheetData>
  <hyperlinks>
    <hyperlink ref="B307" r:id="rId1" display="https://developer.mozilla.org/en-US/docs/Web/HTTP/Status/208" xr:uid="{F9C767E3-2B50-46F5-A9A0-0406A86C74D3}"/>
    <hyperlink ref="B293" r:id="rId2" display="https://developer.mozilla.org/en-US/docs/Web/HTTP/Status/100" xr:uid="{A4AEEB1E-D419-436F-8834-D4C4C6C94DB8}"/>
    <hyperlink ref="B294" r:id="rId3" display="https://developer.mozilla.org/en-US/docs/Web/HTTP/Status/101" xr:uid="{F77012B2-6661-400D-9390-175EC2D3226A}"/>
    <hyperlink ref="B295" r:id="rId4" display="https://developer.mozilla.org/en-US/docs/Web/HTTP/Status/102" xr:uid="{FA7B3F15-7586-42DF-98AB-D038FAB38BF7}"/>
    <hyperlink ref="B296" r:id="rId5" display="https://developer.mozilla.org/en-US/docs/Web/HTTP/Status/103" xr:uid="{D5DA65C8-B574-4D9A-BECC-E3A825702D55}"/>
    <hyperlink ref="B299" r:id="rId6" display="https://developer.mozilla.org/en-US/docs/Web/HTTP/Status/200" xr:uid="{4A03FFB3-F6AD-48D5-AEDB-47EB19880408}"/>
    <hyperlink ref="B300" r:id="rId7" display="https://developer.mozilla.org/en-US/docs/Web/HTTP/Status/201" xr:uid="{8377F8AB-1DC0-4745-A0CE-F64109426229}"/>
    <hyperlink ref="B301" r:id="rId8" display="https://developer.mozilla.org/en-US/docs/Web/HTTP/Status/202" xr:uid="{3DC0B7A2-FC43-46EF-A5C6-621CA0177B7A}"/>
    <hyperlink ref="B302" r:id="rId9" display="https://developer.mozilla.org/en-US/docs/Web/HTTP/Status/203" xr:uid="{D7E56D0B-1127-4406-9045-CF0D2FBFC81E}"/>
    <hyperlink ref="B303" r:id="rId10" display="https://developer.mozilla.org/en-US/docs/Web/HTTP/Status/204" xr:uid="{D2E75757-761E-43B7-83D6-142214ED5727}"/>
    <hyperlink ref="B304" r:id="rId11" display="https://developer.mozilla.org/en-US/docs/Web/HTTP/Status/205" xr:uid="{5DE11440-566B-4521-81CD-91BFF6EC2FDC}"/>
    <hyperlink ref="B305" r:id="rId12" display="https://developer.mozilla.org/en-US/docs/Web/HTTP/Status/206" xr:uid="{CEF0ECC6-027E-4D33-9BEA-C8CE678A1476}"/>
    <hyperlink ref="B306" r:id="rId13" display="https://developer.mozilla.org/en-US/docs/Web/HTTP/Status/207" xr:uid="{68095834-0352-4DA7-9B5D-3F8CFC6F78A8}"/>
    <hyperlink ref="B308" r:id="rId14" display="https://developer.mozilla.org/en-US/docs/Web/HTTP/Status/226" xr:uid="{C0335CAA-4EB1-4A2F-B4FA-9A6D75E11758}"/>
    <hyperlink ref="B311" r:id="rId15" display="https://developer.mozilla.org/en-US/docs/Web/HTTP/Status/300" xr:uid="{47E242F8-9581-4EE8-B14A-BE28A0E5CC02}"/>
    <hyperlink ref="B312" r:id="rId16" display="https://developer.mozilla.org/en-US/docs/Web/HTTP/Status/301" xr:uid="{C18E4CC4-2024-4F69-92C2-D81AE898BE0D}"/>
    <hyperlink ref="B313" r:id="rId17" display="https://developer.mozilla.org/en-US/docs/Web/HTTP/Status/302" xr:uid="{E004B4D0-28E3-47BA-A400-A19232909A27}"/>
    <hyperlink ref="B314" r:id="rId18" display="https://developer.mozilla.org/en-US/docs/Web/HTTP/Status/303" xr:uid="{DD90049E-0993-4450-95A6-A0BE06E6AC8A}"/>
    <hyperlink ref="B315" r:id="rId19" display="https://developer.mozilla.org/en-US/docs/Web/HTTP/Status/304" xr:uid="{056A3B6E-C7D4-4A79-AFBF-58C35642F883}"/>
    <hyperlink ref="B316" r:id="rId20" location="305_use_proxy" display="https://developer.mozilla.org/en-US/docs/Web/HTTP/Status - 305_use_proxy" xr:uid="{B0A472F2-A9E4-46F4-B8C9-9D46EF851563}"/>
    <hyperlink ref="B317" r:id="rId21" location="306_unused" display="https://developer.mozilla.org/en-US/docs/Web/HTTP/Status - 306_unused" xr:uid="{CCCDA6BB-C56E-461F-9D5A-B014237772B8}"/>
    <hyperlink ref="B318" r:id="rId22" display="https://developer.mozilla.org/en-US/docs/Web/HTTP/Status/307" xr:uid="{25714EB2-DCEB-410E-91C5-802C690C7211}"/>
    <hyperlink ref="B319" r:id="rId23" display="https://developer.mozilla.org/en-US/docs/Web/HTTP/Status/308" xr:uid="{00C93408-3EF1-4E6F-A64E-00647B56B833}"/>
    <hyperlink ref="B322" r:id="rId24" display="https://developer.mozilla.org/en-US/docs/Web/HTTP/Status/400" xr:uid="{01E8D53D-081C-4C49-A4AB-9467329DF73E}"/>
    <hyperlink ref="B323" r:id="rId25" display="https://developer.mozilla.org/en-US/docs/Web/HTTP/Status/401" xr:uid="{B357EDA3-926C-4D8F-99C0-D8F70B80D901}"/>
    <hyperlink ref="B324" r:id="rId26" display="https://developer.mozilla.org/en-US/docs/Web/HTTP/Status/402" xr:uid="{BF95F57E-68C6-4AE9-BCA8-C7C189FF2DE4}"/>
    <hyperlink ref="B325" r:id="rId27" display="https://developer.mozilla.org/en-US/docs/Web/HTTP/Status/403" xr:uid="{AD90481A-3BAA-44FC-BF82-4071A0626349}"/>
    <hyperlink ref="B326" r:id="rId28" display="https://developer.mozilla.org/en-US/docs/Web/HTTP/Status/404" xr:uid="{F72081D6-A993-4079-9C57-A0E3D01D4101}"/>
    <hyperlink ref="B327" r:id="rId29" display="https://developer.mozilla.org/en-US/docs/Web/HTTP/Status/405" xr:uid="{0738004A-40A8-45D5-BAB4-833328A062F3}"/>
    <hyperlink ref="B328" r:id="rId30" display="https://developer.mozilla.org/en-US/docs/Web/HTTP/Status/406" xr:uid="{EA717C65-75CB-4BA3-8438-B57253A57BB5}"/>
    <hyperlink ref="B329" r:id="rId31" display="https://developer.mozilla.org/en-US/docs/Web/HTTP/Status/407" xr:uid="{DA09CC93-1DD4-4816-A362-6CCA378756AF}"/>
    <hyperlink ref="B330" r:id="rId32" display="https://developer.mozilla.org/en-US/docs/Web/HTTP/Status/408" xr:uid="{CB873C16-8F5B-4DF1-B11B-EED7FC6853F8}"/>
    <hyperlink ref="B331" r:id="rId33" display="https://developer.mozilla.org/en-US/docs/Web/HTTP/Status/409" xr:uid="{CFFFEA28-49CC-4856-B643-51A28E6DF2AC}"/>
    <hyperlink ref="B332" r:id="rId34" display="https://developer.mozilla.org/en-US/docs/Web/HTTP/Status/410" xr:uid="{718ABA18-5222-4DE0-8C80-2007A3628E30}"/>
    <hyperlink ref="B333" r:id="rId35" display="https://developer.mozilla.org/en-US/docs/Web/HTTP/Status/411" xr:uid="{DD8FC0CA-B60A-48CC-A1AB-B2FC7CD2C949}"/>
    <hyperlink ref="B334" r:id="rId36" display="https://developer.mozilla.org/en-US/docs/Web/HTTP/Status/412" xr:uid="{F0E760F2-9CA4-4AE6-9BBC-C0B458A61E67}"/>
    <hyperlink ref="B335" r:id="rId37" display="https://developer.mozilla.org/en-US/docs/Web/HTTP/Status/413" xr:uid="{37F5DF56-87A8-4649-BB4F-AACF280331AC}"/>
    <hyperlink ref="B336" r:id="rId38" display="https://developer.mozilla.org/en-US/docs/Web/HTTP/Status/414" xr:uid="{E2DABC5C-B1AD-4622-95B3-410CDD1A0BA8}"/>
    <hyperlink ref="B337" r:id="rId39" display="https://developer.mozilla.org/en-US/docs/Web/HTTP/Status/415" xr:uid="{2BFF7B20-4121-49C5-BE73-092DB5708926}"/>
    <hyperlink ref="B338" r:id="rId40" display="https://developer.mozilla.org/en-US/docs/Web/HTTP/Status/416" xr:uid="{9B25EDEE-B3D1-4C5F-8E77-8818C339A3C3}"/>
    <hyperlink ref="B339" r:id="rId41" display="https://developer.mozilla.org/en-US/docs/Web/HTTP/Status/417" xr:uid="{ED891E87-142D-4354-918A-FFA3A4E466D0}"/>
    <hyperlink ref="B340" r:id="rId42" display="https://developer.mozilla.org/en-US/docs/Web/HTTP/Status/418" xr:uid="{423278C1-190D-4A22-BECA-379E127D380F}"/>
    <hyperlink ref="B341" r:id="rId43" display="https://developer.mozilla.org/en-US/docs/Web/HTTP/Status/421" xr:uid="{53AF6937-89B9-4755-90B6-BCD1D4AC0808}"/>
    <hyperlink ref="B342" r:id="rId44" display="https://developer.mozilla.org/en-US/docs/Web/HTTP/Status/422" xr:uid="{E608BD60-3F6C-41BF-AF4F-065E2DCBE9B7}"/>
    <hyperlink ref="B343" r:id="rId45" display="https://developer.mozilla.org/en-US/docs/Web/HTTP/Status/423" xr:uid="{5F151DC2-BDF1-4071-A8A9-5A5B538E75D0}"/>
    <hyperlink ref="B344" r:id="rId46" display="https://developer.mozilla.org/en-US/docs/Web/HTTP/Status/424" xr:uid="{EA297D17-369F-44AE-8D45-D528F66EE971}"/>
    <hyperlink ref="B345" r:id="rId47" display="https://developer.mozilla.org/en-US/docs/Web/HTTP/Status/425" xr:uid="{5BA2FBF7-55F0-4478-899E-D8A4E3B801B4}"/>
    <hyperlink ref="B346" r:id="rId48" display="https://developer.mozilla.org/en-US/docs/Web/HTTP/Status/426" xr:uid="{42E33DA7-6635-4415-9AC1-55802FB337DD}"/>
    <hyperlink ref="B347" r:id="rId49" display="https://developer.mozilla.org/en-US/docs/Web/HTTP/Status/428" xr:uid="{B3E4E313-543B-425B-BDE0-72252E49899C}"/>
    <hyperlink ref="B348" r:id="rId50" display="https://developer.mozilla.org/en-US/docs/Web/HTTP/Status/429" xr:uid="{98EAE271-38FB-41EB-8BAD-CB4055F730A9}"/>
    <hyperlink ref="B349" r:id="rId51" display="https://developer.mozilla.org/en-US/docs/Web/HTTP/Status/431" xr:uid="{C2DEA63D-DF43-4C90-A3AF-251C79F476CD}"/>
    <hyperlink ref="B350" r:id="rId52" display="https://developer.mozilla.org/en-US/docs/Web/HTTP/Status/451" xr:uid="{89E96588-A254-46C0-B020-AE79278FF2B6}"/>
    <hyperlink ref="B353" r:id="rId53" display="https://developer.mozilla.org/en-US/docs/Web/HTTP/Status/500" xr:uid="{3948656D-5F38-4031-AF54-AE1E697A76FA}"/>
    <hyperlink ref="B354" r:id="rId54" display="https://developer.mozilla.org/en-US/docs/Web/HTTP/Status/501" xr:uid="{0443D84B-9CCF-4230-8648-6C5711F80E30}"/>
    <hyperlink ref="B355" r:id="rId55" display="https://developer.mozilla.org/en-US/docs/Web/HTTP/Status/502" xr:uid="{3E133735-1CD0-4D85-93AC-EEFCD8A7F3EE}"/>
    <hyperlink ref="B356" r:id="rId56" display="https://developer.mozilla.org/en-US/docs/Web/HTTP/Status/503" xr:uid="{B02B5BB9-BB5E-4DE5-8F2A-F2E6BB811427}"/>
    <hyperlink ref="B357" r:id="rId57" display="https://developer.mozilla.org/en-US/docs/Web/HTTP/Status/504" xr:uid="{5D72470B-101F-4AE1-8D9C-1A921B5CF598}"/>
    <hyperlink ref="B358" r:id="rId58" display="https://developer.mozilla.org/en-US/docs/Web/HTTP/Status/505" xr:uid="{6CD513F0-1F61-4B91-81DD-BCF5F09B4D33}"/>
    <hyperlink ref="B359" r:id="rId59" display="https://developer.mozilla.org/en-US/docs/Web/HTTP/Status/506" xr:uid="{D5AF930C-5215-427D-86BD-59C68C2295FB}"/>
    <hyperlink ref="B360" r:id="rId60" display="https://developer.mozilla.org/en-US/docs/Web/HTTP/Status/507" xr:uid="{77B15D92-FFF6-409A-BB56-1BC4BBE0B027}"/>
    <hyperlink ref="B361" r:id="rId61" display="https://developer.mozilla.org/en-US/docs/Web/HTTP/Status/508" xr:uid="{36F748BA-6970-48CF-B992-99B2AD0D108C}"/>
    <hyperlink ref="B362" r:id="rId62" display="https://developer.mozilla.org/en-US/docs/Web/HTTP/Status/510" xr:uid="{DBCCC3D6-E3DE-4A09-982D-30B4A36D62F7}"/>
    <hyperlink ref="B363" r:id="rId63" display="https://developer.mozilla.org/en-US/docs/Web/HTTP/Status/511" xr:uid="{D9BA1F93-0B91-4198-BF93-FC4D1FB8DF79}"/>
    <hyperlink ref="B10" location="API!B284" display="API Response Codes" xr:uid="{DF57F2BF-1D70-47C9-841F-10CDC8975712}"/>
    <hyperlink ref="B286" location="API!B292" display="1. Informational responses" xr:uid="{F1D3A24A-8CD1-45A9-9842-68C13C93CB35}"/>
    <hyperlink ref="C292" location="API!B286" display="Index" xr:uid="{AF31C720-7F22-416D-9C4E-A39D0E2C470E}"/>
    <hyperlink ref="C284" location="API!B10" display="Back" xr:uid="{7CE05F5F-57EA-4A77-A240-1505BF7C1A8F}"/>
    <hyperlink ref="B287" location="API!B298" display="2. Successful responses" xr:uid="{F69DDF1E-19A4-4521-B1C9-4DEF973A0D16}"/>
    <hyperlink ref="C298" location="API!B286" display="Index" xr:uid="{8C772D0D-6982-4DFF-AA30-5B3D2ED374FA}"/>
    <hyperlink ref="B288" location="API!B310" display="3. Redirection messages" xr:uid="{1D8C4BA2-4FB5-486F-B32C-9CEE52619E52}"/>
    <hyperlink ref="C310" location="API!B286" display="Index" xr:uid="{218C22F6-F018-4513-96FB-263DC76A579C}"/>
    <hyperlink ref="C321" location="API!B286" display="Index" xr:uid="{F1B91721-BD3C-4F6A-8439-B74AAFE74A87}"/>
    <hyperlink ref="C352" location="API!B286" display="Index" xr:uid="{DB7E7402-BE2D-4F51-A65D-2A0A5A8B3203}"/>
    <hyperlink ref="B289" location="API!B321" display="4. Client error responses" xr:uid="{BD108DE2-D402-4289-ACB7-E68BE97BB95F}"/>
    <hyperlink ref="B290" location="API!B352" display="5. Server error responses" xr:uid="{5C61AB48-3756-4F2F-809D-49F4C5123294}"/>
  </hyperlinks>
  <pageMargins left="0.7" right="0.7" top="0.75" bottom="0.75" header="0.3" footer="0.3"/>
  <pageSetup orientation="portrait" r:id="rId6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05FA-D60C-4040-B112-7F963DAF5A35}">
  <dimension ref="A1:L81"/>
  <sheetViews>
    <sheetView topLeftCell="B33" workbookViewId="0">
      <selection activeCell="B78" sqref="B78"/>
    </sheetView>
  </sheetViews>
  <sheetFormatPr defaultRowHeight="14.4"/>
  <cols>
    <col min="1" max="1" width="7.77734375" customWidth="1"/>
    <col min="2" max="2" width="49.77734375" bestFit="1" customWidth="1"/>
    <col min="3" max="3" width="81.6640625" customWidth="1"/>
    <col min="4" max="4" width="35.109375" customWidth="1"/>
  </cols>
  <sheetData>
    <row r="1" spans="1:12" ht="21">
      <c r="A1" s="4" t="s">
        <v>49</v>
      </c>
      <c r="B1" s="5" t="s">
        <v>50</v>
      </c>
      <c r="C1" s="5" t="s">
        <v>51</v>
      </c>
      <c r="D1" s="5"/>
      <c r="E1" s="5"/>
      <c r="F1" s="5"/>
      <c r="G1" s="5"/>
      <c r="H1" s="5"/>
      <c r="I1" s="5"/>
      <c r="J1" s="5"/>
      <c r="K1" s="5"/>
      <c r="L1" s="6"/>
    </row>
    <row r="3" spans="1:12">
      <c r="A3" s="236">
        <v>1</v>
      </c>
      <c r="B3" s="236" t="s">
        <v>492</v>
      </c>
      <c r="C3" t="s">
        <v>493</v>
      </c>
    </row>
    <row r="4" spans="1:12">
      <c r="A4" s="236"/>
      <c r="B4" s="236"/>
      <c r="C4" t="s">
        <v>494</v>
      </c>
    </row>
    <row r="5" spans="1:12">
      <c r="A5" s="236"/>
      <c r="B5" s="236"/>
      <c r="C5" t="s">
        <v>495</v>
      </c>
    </row>
    <row r="6" spans="1:12" ht="100.8">
      <c r="A6" s="34">
        <v>2</v>
      </c>
      <c r="B6" s="236" t="s">
        <v>491</v>
      </c>
      <c r="C6" s="2" t="s">
        <v>1280</v>
      </c>
      <c r="D6" s="2" t="s">
        <v>1282</v>
      </c>
    </row>
    <row r="7" spans="1:12" ht="86.4">
      <c r="A7" s="34"/>
      <c r="B7" s="236"/>
      <c r="C7" s="2" t="s">
        <v>1281</v>
      </c>
    </row>
    <row r="8" spans="1:12" ht="28.8">
      <c r="A8">
        <v>3</v>
      </c>
      <c r="B8" t="s">
        <v>496</v>
      </c>
      <c r="C8" s="32" t="s">
        <v>499</v>
      </c>
    </row>
    <row r="9" spans="1:12" ht="28.8">
      <c r="A9">
        <v>4</v>
      </c>
      <c r="B9" t="s">
        <v>497</v>
      </c>
      <c r="C9" s="32" t="s">
        <v>500</v>
      </c>
    </row>
    <row r="10" spans="1:12" ht="28.8">
      <c r="A10">
        <v>5</v>
      </c>
      <c r="B10" t="s">
        <v>498</v>
      </c>
      <c r="C10" s="32" t="s">
        <v>502</v>
      </c>
    </row>
    <row r="11" spans="1:12" ht="43.2">
      <c r="A11">
        <v>6</v>
      </c>
      <c r="B11" t="s">
        <v>501</v>
      </c>
      <c r="C11" s="32" t="s">
        <v>503</v>
      </c>
    </row>
    <row r="12" spans="1:12" ht="57.6">
      <c r="A12">
        <v>7</v>
      </c>
      <c r="B12" t="s">
        <v>504</v>
      </c>
      <c r="C12" s="2" t="s">
        <v>1283</v>
      </c>
    </row>
    <row r="13" spans="1:12" ht="43.2">
      <c r="A13">
        <v>8</v>
      </c>
      <c r="B13" t="s">
        <v>505</v>
      </c>
      <c r="C13" s="32" t="s">
        <v>506</v>
      </c>
    </row>
    <row r="14" spans="1:12" ht="57.6">
      <c r="A14">
        <v>9</v>
      </c>
      <c r="B14" t="s">
        <v>507</v>
      </c>
      <c r="C14" s="32" t="s">
        <v>1284</v>
      </c>
    </row>
    <row r="15" spans="1:12" ht="43.2">
      <c r="A15">
        <v>10</v>
      </c>
      <c r="B15" t="s">
        <v>508</v>
      </c>
      <c r="C15" s="32" t="s">
        <v>509</v>
      </c>
    </row>
    <row r="16" spans="1:12" ht="28.8">
      <c r="A16">
        <v>11</v>
      </c>
      <c r="B16" t="s">
        <v>510</v>
      </c>
      <c r="C16" s="32" t="s">
        <v>512</v>
      </c>
    </row>
    <row r="17" spans="1:3" ht="28.8">
      <c r="A17">
        <v>12</v>
      </c>
      <c r="B17" t="s">
        <v>511</v>
      </c>
      <c r="C17" s="32" t="s">
        <v>513</v>
      </c>
    </row>
    <row r="18" spans="1:3" ht="43.2">
      <c r="A18">
        <v>13</v>
      </c>
      <c r="B18" t="s">
        <v>514</v>
      </c>
      <c r="C18" s="32" t="s">
        <v>515</v>
      </c>
    </row>
    <row r="19" spans="1:3" ht="28.8">
      <c r="A19">
        <v>14</v>
      </c>
      <c r="B19" t="s">
        <v>516</v>
      </c>
      <c r="C19" s="32" t="s">
        <v>517</v>
      </c>
    </row>
    <row r="20" spans="1:3" ht="43.2">
      <c r="A20">
        <v>15</v>
      </c>
      <c r="B20" t="s">
        <v>518</v>
      </c>
      <c r="C20" s="32" t="s">
        <v>519</v>
      </c>
    </row>
    <row r="21" spans="1:3" ht="28.8">
      <c r="A21">
        <v>16</v>
      </c>
      <c r="B21" t="s">
        <v>542</v>
      </c>
      <c r="C21" s="32" t="s">
        <v>543</v>
      </c>
    </row>
    <row r="23" spans="1:3" ht="18">
      <c r="A23">
        <v>17</v>
      </c>
      <c r="B23" s="73" t="s">
        <v>520</v>
      </c>
    </row>
    <row r="24" spans="1:3" ht="28.8">
      <c r="B24" s="19" t="s">
        <v>521</v>
      </c>
      <c r="C24" s="35" t="s">
        <v>522</v>
      </c>
    </row>
    <row r="25" spans="1:3" ht="28.8">
      <c r="B25" s="19" t="s">
        <v>523</v>
      </c>
      <c r="C25" s="35" t="s">
        <v>524</v>
      </c>
    </row>
    <row r="26" spans="1:3">
      <c r="C26" s="32"/>
    </row>
    <row r="27" spans="1:3" ht="28.8">
      <c r="A27">
        <v>18</v>
      </c>
      <c r="B27" t="s">
        <v>536</v>
      </c>
      <c r="C27" s="32" t="s">
        <v>537</v>
      </c>
    </row>
    <row r="28" spans="1:3" ht="28.8">
      <c r="A28">
        <v>19</v>
      </c>
      <c r="B28" t="s">
        <v>545</v>
      </c>
      <c r="C28" s="32" t="s">
        <v>546</v>
      </c>
    </row>
    <row r="29" spans="1:3" ht="43.2">
      <c r="A29">
        <v>20</v>
      </c>
      <c r="B29" t="s">
        <v>547</v>
      </c>
      <c r="C29" s="32" t="s">
        <v>548</v>
      </c>
    </row>
    <row r="30" spans="1:3" ht="43.2">
      <c r="A30">
        <v>21</v>
      </c>
      <c r="B30" t="s">
        <v>549</v>
      </c>
      <c r="C30" s="32" t="s">
        <v>550</v>
      </c>
    </row>
    <row r="31" spans="1:3" ht="57.6">
      <c r="B31" t="s">
        <v>551</v>
      </c>
      <c r="C31" s="32" t="s">
        <v>552</v>
      </c>
    </row>
    <row r="32" spans="1:3" ht="43.2">
      <c r="B32" t="s">
        <v>554</v>
      </c>
      <c r="C32" s="32" t="s">
        <v>553</v>
      </c>
    </row>
    <row r="33" spans="2:3" ht="43.2">
      <c r="B33" t="s">
        <v>555</v>
      </c>
      <c r="C33" s="32" t="s">
        <v>556</v>
      </c>
    </row>
    <row r="34" spans="2:3" ht="43.2">
      <c r="B34" t="s">
        <v>557</v>
      </c>
      <c r="C34" s="32" t="s">
        <v>558</v>
      </c>
    </row>
    <row r="35" spans="2:3">
      <c r="C35" s="32"/>
    </row>
    <row r="36" spans="2:3">
      <c r="B36" t="s">
        <v>559</v>
      </c>
    </row>
    <row r="37" spans="2:3">
      <c r="B37" s="236" t="s">
        <v>563</v>
      </c>
      <c r="C37" s="32" t="s">
        <v>560</v>
      </c>
    </row>
    <row r="38" spans="2:3" ht="28.8">
      <c r="B38" s="236"/>
      <c r="C38" s="32" t="s">
        <v>564</v>
      </c>
    </row>
    <row r="39" spans="2:3">
      <c r="B39" s="236" t="s">
        <v>561</v>
      </c>
      <c r="C39" s="32" t="s">
        <v>562</v>
      </c>
    </row>
    <row r="40" spans="2:3" ht="28.8">
      <c r="B40" s="236"/>
      <c r="C40" s="32" t="s">
        <v>565</v>
      </c>
    </row>
    <row r="42" spans="2:3" ht="28.8">
      <c r="B42" t="s">
        <v>566</v>
      </c>
      <c r="C42" s="32" t="s">
        <v>567</v>
      </c>
    </row>
    <row r="43" spans="2:3" ht="28.8">
      <c r="B43" t="s">
        <v>568</v>
      </c>
      <c r="C43" s="32" t="s">
        <v>569</v>
      </c>
    </row>
    <row r="45" spans="2:3" ht="28.8">
      <c r="B45" t="s">
        <v>570</v>
      </c>
      <c r="C45" s="32" t="s">
        <v>571</v>
      </c>
    </row>
    <row r="46" spans="2:3">
      <c r="B46" s="236" t="s">
        <v>572</v>
      </c>
      <c r="C46" t="s">
        <v>573</v>
      </c>
    </row>
    <row r="47" spans="2:3">
      <c r="B47" s="236"/>
      <c r="C47" t="s">
        <v>574</v>
      </c>
    </row>
    <row r="48" spans="2:3">
      <c r="B48" s="236"/>
      <c r="C48" t="s">
        <v>575</v>
      </c>
    </row>
    <row r="49" spans="2:3">
      <c r="B49" s="236"/>
      <c r="C49" t="s">
        <v>576</v>
      </c>
    </row>
    <row r="50" spans="2:3">
      <c r="B50" s="236"/>
      <c r="C50" t="s">
        <v>577</v>
      </c>
    </row>
    <row r="51" spans="2:3">
      <c r="B51" t="s">
        <v>578</v>
      </c>
    </row>
    <row r="53" spans="2:3" ht="28.8">
      <c r="B53" t="s">
        <v>584</v>
      </c>
      <c r="C53" s="32" t="s">
        <v>579</v>
      </c>
    </row>
    <row r="55" spans="2:3" ht="43.2">
      <c r="B55" s="32" t="s">
        <v>585</v>
      </c>
      <c r="C55" s="32" t="s">
        <v>580</v>
      </c>
    </row>
    <row r="56" spans="2:3" ht="43.2">
      <c r="B56" t="s">
        <v>581</v>
      </c>
      <c r="C56" s="32" t="s">
        <v>586</v>
      </c>
    </row>
    <row r="57" spans="2:3" ht="43.2">
      <c r="B57" t="s">
        <v>582</v>
      </c>
      <c r="C57" s="32" t="s">
        <v>587</v>
      </c>
    </row>
    <row r="58" spans="2:3" ht="43.2">
      <c r="B58" t="s">
        <v>583</v>
      </c>
      <c r="C58" s="32" t="s">
        <v>588</v>
      </c>
    </row>
    <row r="59" spans="2:3" ht="43.2">
      <c r="B59" s="32" t="s">
        <v>589</v>
      </c>
      <c r="C59" s="32" t="s">
        <v>602</v>
      </c>
    </row>
    <row r="61" spans="2:3" ht="72">
      <c r="B61" t="s">
        <v>590</v>
      </c>
      <c r="C61" s="32" t="s">
        <v>591</v>
      </c>
    </row>
    <row r="63" spans="2:3">
      <c r="B63" t="s">
        <v>592</v>
      </c>
    </row>
    <row r="64" spans="2:3">
      <c r="B64" t="s">
        <v>593</v>
      </c>
      <c r="C64" s="32" t="s">
        <v>597</v>
      </c>
    </row>
    <row r="65" spans="2:3" ht="28.8">
      <c r="B65" t="s">
        <v>594</v>
      </c>
      <c r="C65" s="32" t="s">
        <v>598</v>
      </c>
    </row>
    <row r="66" spans="2:3">
      <c r="B66" t="s">
        <v>595</v>
      </c>
      <c r="C66" s="32" t="s">
        <v>599</v>
      </c>
    </row>
    <row r="67" spans="2:3">
      <c r="B67" t="s">
        <v>596</v>
      </c>
      <c r="C67" s="32" t="s">
        <v>600</v>
      </c>
    </row>
    <row r="68" spans="2:3">
      <c r="B68" t="s">
        <v>601</v>
      </c>
    </row>
    <row r="70" spans="2:3">
      <c r="B70" t="s">
        <v>603</v>
      </c>
      <c r="C70" s="32" t="s">
        <v>604</v>
      </c>
    </row>
    <row r="71" spans="2:3" ht="28.8">
      <c r="B71" t="s">
        <v>605</v>
      </c>
      <c r="C71" s="32" t="s">
        <v>606</v>
      </c>
    </row>
    <row r="72" spans="2:3">
      <c r="B72" t="s">
        <v>607</v>
      </c>
      <c r="C72" s="32" t="s">
        <v>608</v>
      </c>
    </row>
    <row r="74" spans="2:3" ht="18">
      <c r="B74" s="73" t="s">
        <v>1297</v>
      </c>
    </row>
    <row r="75" spans="2:3" ht="15" thickBot="1"/>
    <row r="76" spans="2:3" ht="18" thickBot="1">
      <c r="B76" s="80" t="s">
        <v>1285</v>
      </c>
      <c r="C76" s="81" t="s">
        <v>1286</v>
      </c>
    </row>
    <row r="77" spans="2:3" ht="32.4">
      <c r="B77" s="78" t="s">
        <v>1287</v>
      </c>
      <c r="C77" s="79" t="s">
        <v>1288</v>
      </c>
    </row>
    <row r="78" spans="2:3" ht="16.2">
      <c r="B78" s="74" t="s">
        <v>1289</v>
      </c>
      <c r="C78" s="75" t="s">
        <v>1290</v>
      </c>
    </row>
    <row r="79" spans="2:3" ht="32.4">
      <c r="B79" s="74" t="s">
        <v>1291</v>
      </c>
      <c r="C79" s="75" t="s">
        <v>1292</v>
      </c>
    </row>
    <row r="80" spans="2:3" ht="32.4">
      <c r="B80" s="74" t="s">
        <v>1293</v>
      </c>
      <c r="C80" s="75" t="s">
        <v>1294</v>
      </c>
    </row>
    <row r="81" spans="2:3" ht="16.8" thickBot="1">
      <c r="B81" s="76" t="s">
        <v>1295</v>
      </c>
      <c r="C81" s="77" t="s">
        <v>1296</v>
      </c>
    </row>
  </sheetData>
  <mergeCells count="6">
    <mergeCell ref="B37:B38"/>
    <mergeCell ref="B39:B40"/>
    <mergeCell ref="B46:B50"/>
    <mergeCell ref="B3:B5"/>
    <mergeCell ref="A3:A5"/>
    <mergeCell ref="B6:B7"/>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9"/>
  <sheetViews>
    <sheetView topLeftCell="A26" workbookViewId="0">
      <selection activeCell="C13" sqref="C13"/>
    </sheetView>
  </sheetViews>
  <sheetFormatPr defaultRowHeight="14.4"/>
  <cols>
    <col min="1" max="1" width="7.77734375" style="1" customWidth="1"/>
    <col min="2" max="2" width="41.6640625" style="2" bestFit="1" customWidth="1"/>
    <col min="3" max="3" width="75.33203125" style="2" bestFit="1" customWidth="1"/>
  </cols>
  <sheetData>
    <row r="1" spans="1:12" ht="21">
      <c r="A1" s="4" t="s">
        <v>49</v>
      </c>
      <c r="B1" s="5" t="s">
        <v>50</v>
      </c>
      <c r="C1" s="5" t="s">
        <v>51</v>
      </c>
      <c r="D1" s="5"/>
      <c r="E1" s="5"/>
      <c r="F1" s="5"/>
      <c r="G1" s="5"/>
      <c r="H1" s="5"/>
      <c r="I1" s="5"/>
      <c r="J1" s="5"/>
      <c r="K1" s="5"/>
      <c r="L1" s="6"/>
    </row>
    <row r="2" spans="1:12">
      <c r="A2" s="67"/>
      <c r="B2" s="67"/>
      <c r="C2" s="67"/>
    </row>
    <row r="3" spans="1:12">
      <c r="A3" s="20"/>
      <c r="B3" s="20" t="s">
        <v>1393</v>
      </c>
      <c r="C3" s="20" t="s">
        <v>1394</v>
      </c>
    </row>
    <row r="4" spans="1:12">
      <c r="A4" s="20"/>
      <c r="B4" s="20"/>
      <c r="C4" s="20" t="s">
        <v>1395</v>
      </c>
    </row>
    <row r="5" spans="1:12">
      <c r="A5" s="20"/>
      <c r="B5" s="20"/>
      <c r="C5" s="20" t="s">
        <v>1396</v>
      </c>
    </row>
    <row r="6" spans="1:12">
      <c r="A6" s="20"/>
      <c r="B6" s="20"/>
      <c r="C6" s="20"/>
    </row>
    <row r="7" spans="1:12" ht="43.2">
      <c r="A7" s="20"/>
      <c r="B7" s="20"/>
      <c r="C7" s="53" t="s">
        <v>1397</v>
      </c>
    </row>
    <row r="8" spans="1:12">
      <c r="A8" s="20"/>
      <c r="B8" s="20"/>
      <c r="C8" s="20" t="s">
        <v>1398</v>
      </c>
    </row>
    <row r="9" spans="1:12">
      <c r="A9" s="20"/>
      <c r="B9" s="20"/>
      <c r="C9" s="20"/>
    </row>
    <row r="10" spans="1:12">
      <c r="A10" s="20"/>
      <c r="B10" s="20" t="s">
        <v>1399</v>
      </c>
      <c r="C10" s="20" t="s">
        <v>1400</v>
      </c>
    </row>
    <row r="11" spans="1:12">
      <c r="A11" s="20"/>
      <c r="B11" s="20"/>
      <c r="C11" s="20" t="s">
        <v>1401</v>
      </c>
    </row>
    <row r="12" spans="1:12" ht="115.2">
      <c r="A12" s="20"/>
      <c r="B12" s="20"/>
      <c r="C12" s="53" t="s">
        <v>1402</v>
      </c>
    </row>
    <row r="13" spans="1:12">
      <c r="A13" s="20"/>
      <c r="B13" s="20"/>
      <c r="C13" s="20" t="s">
        <v>1403</v>
      </c>
    </row>
    <row r="14" spans="1:12">
      <c r="A14" s="20"/>
      <c r="B14" s="20" t="s">
        <v>1404</v>
      </c>
      <c r="C14" s="20" t="s">
        <v>1405</v>
      </c>
    </row>
    <row r="15" spans="1:12">
      <c r="A15" s="20"/>
      <c r="B15" s="20"/>
      <c r="C15" s="20"/>
    </row>
    <row r="16" spans="1:12">
      <c r="A16" s="20"/>
      <c r="B16" s="20"/>
      <c r="C16" s="20"/>
    </row>
    <row r="17" spans="1:3">
      <c r="A17" s="20"/>
      <c r="B17" s="20"/>
      <c r="C17" s="20"/>
    </row>
    <row r="18" spans="1:3">
      <c r="A18" s="20"/>
      <c r="B18" s="20"/>
      <c r="C18" s="20"/>
    </row>
    <row r="19" spans="1:3">
      <c r="A19" s="20"/>
      <c r="B19" s="20"/>
      <c r="C19" s="20"/>
    </row>
    <row r="20" spans="1:3" ht="57.6">
      <c r="A20" s="20"/>
      <c r="B20" s="20" t="s">
        <v>1157</v>
      </c>
      <c r="C20" s="53" t="s">
        <v>1158</v>
      </c>
    </row>
    <row r="21" spans="1:3" ht="28.8">
      <c r="A21" s="20"/>
      <c r="B21" s="20"/>
      <c r="C21" s="53" t="s">
        <v>1159</v>
      </c>
    </row>
    <row r="22" spans="1:3">
      <c r="A22" s="20"/>
      <c r="B22" s="20"/>
      <c r="C22" s="20" t="s">
        <v>1160</v>
      </c>
    </row>
    <row r="23" spans="1:3">
      <c r="A23" s="20"/>
      <c r="B23" s="20"/>
      <c r="C23" s="20"/>
    </row>
    <row r="24" spans="1:3">
      <c r="A24" s="20"/>
      <c r="B24" s="20" t="s">
        <v>1161</v>
      </c>
      <c r="C24" s="68" t="s">
        <v>1165</v>
      </c>
    </row>
    <row r="25" spans="1:3">
      <c r="A25" s="20"/>
      <c r="B25" s="20"/>
      <c r="C25" s="20" t="s">
        <v>1162</v>
      </c>
    </row>
    <row r="26" spans="1:3">
      <c r="A26" s="20"/>
      <c r="B26" s="20"/>
      <c r="C26" s="20" t="s">
        <v>1163</v>
      </c>
    </row>
    <row r="27" spans="1:3">
      <c r="A27" s="20"/>
      <c r="B27" s="20"/>
      <c r="C27" s="20" t="s">
        <v>1164</v>
      </c>
    </row>
    <row r="28" spans="1:3">
      <c r="A28" s="20"/>
      <c r="B28" s="20"/>
      <c r="C28" s="50" t="s">
        <v>1166</v>
      </c>
    </row>
    <row r="29" spans="1:3">
      <c r="A29" s="20"/>
      <c r="B29" s="20"/>
      <c r="C29" s="20" t="s">
        <v>1168</v>
      </c>
    </row>
    <row r="30" spans="1:3">
      <c r="A30" s="20"/>
      <c r="B30" s="20"/>
      <c r="C30" s="20" t="s">
        <v>1170</v>
      </c>
    </row>
    <row r="31" spans="1:3">
      <c r="A31" s="20"/>
      <c r="B31" s="20"/>
      <c r="C31" s="20" t="s">
        <v>1167</v>
      </c>
    </row>
    <row r="32" spans="1:3">
      <c r="A32" s="20"/>
      <c r="B32" s="20"/>
      <c r="C32" s="20" t="s">
        <v>1173</v>
      </c>
    </row>
    <row r="33" spans="1:3">
      <c r="A33" s="20"/>
      <c r="B33" s="20"/>
      <c r="C33" s="20" t="s">
        <v>1174</v>
      </c>
    </row>
    <row r="34" spans="1:3">
      <c r="A34" s="20"/>
      <c r="B34" s="20"/>
      <c r="C34" s="20" t="s">
        <v>1175</v>
      </c>
    </row>
    <row r="35" spans="1:3">
      <c r="A35" s="20"/>
      <c r="B35" s="20"/>
      <c r="C35" s="50" t="s">
        <v>1169</v>
      </c>
    </row>
    <row r="36" spans="1:3">
      <c r="A36" s="20"/>
      <c r="B36" s="20"/>
      <c r="C36" s="20" t="s">
        <v>1171</v>
      </c>
    </row>
    <row r="37" spans="1:3">
      <c r="A37" s="20"/>
      <c r="B37" s="20"/>
      <c r="C37" s="20" t="s">
        <v>1172</v>
      </c>
    </row>
    <row r="38" spans="1:3">
      <c r="A38" s="20"/>
      <c r="B38" s="20"/>
      <c r="C38" s="50" t="s">
        <v>1176</v>
      </c>
    </row>
    <row r="39" spans="1:3">
      <c r="A39" s="20"/>
      <c r="B39" s="20"/>
      <c r="C39" s="20" t="s">
        <v>1177</v>
      </c>
    </row>
    <row r="40" spans="1:3" ht="72">
      <c r="A40" s="20"/>
      <c r="B40" s="20"/>
      <c r="C40" s="53" t="s">
        <v>1178</v>
      </c>
    </row>
    <row r="41" spans="1:3">
      <c r="A41" s="20"/>
      <c r="B41" s="20" t="s">
        <v>1179</v>
      </c>
      <c r="C41" s="20" t="s">
        <v>1180</v>
      </c>
    </row>
    <row r="42" spans="1:3">
      <c r="A42" s="20"/>
      <c r="B42" s="20"/>
      <c r="C42" s="20" t="s">
        <v>1181</v>
      </c>
    </row>
    <row r="43" spans="1:3">
      <c r="A43" s="20"/>
      <c r="B43" s="20"/>
      <c r="C43" s="20" t="s">
        <v>1182</v>
      </c>
    </row>
    <row r="44" spans="1:3">
      <c r="A44" s="20"/>
      <c r="B44" s="20"/>
      <c r="C44" s="20"/>
    </row>
    <row r="45" spans="1:3">
      <c r="A45" s="20"/>
      <c r="B45" s="20"/>
      <c r="C45" s="20"/>
    </row>
    <row r="46" spans="1:3">
      <c r="A46" s="20"/>
      <c r="B46" s="20"/>
      <c r="C46" s="20"/>
    </row>
    <row r="47" spans="1:3">
      <c r="A47" s="20"/>
      <c r="B47" s="20"/>
      <c r="C47" s="20"/>
    </row>
    <row r="48" spans="1:3">
      <c r="A48" s="20"/>
      <c r="B48" s="20"/>
      <c r="C48" s="20"/>
    </row>
    <row r="49" spans="1:3">
      <c r="A49" s="20"/>
      <c r="B49" s="20"/>
      <c r="C49" s="20"/>
    </row>
    <row r="50" spans="1:3">
      <c r="A50" s="20"/>
      <c r="B50" s="20"/>
      <c r="C50" s="20"/>
    </row>
    <row r="51" spans="1:3">
      <c r="A51" s="20"/>
      <c r="B51" s="20"/>
      <c r="C51" s="20"/>
    </row>
    <row r="52" spans="1:3">
      <c r="A52" s="20"/>
      <c r="B52" s="20"/>
      <c r="C52" s="20"/>
    </row>
    <row r="53" spans="1:3">
      <c r="A53" s="20"/>
      <c r="B53" s="20"/>
      <c r="C53" s="20"/>
    </row>
    <row r="54" spans="1:3">
      <c r="A54" s="20"/>
      <c r="B54" s="20"/>
      <c r="C54" s="20"/>
    </row>
    <row r="55" spans="1:3">
      <c r="A55" s="20"/>
      <c r="B55" s="20"/>
      <c r="C55" s="20"/>
    </row>
    <row r="56" spans="1:3">
      <c r="A56" s="20"/>
      <c r="B56" s="20"/>
      <c r="C56" s="20"/>
    </row>
    <row r="57" spans="1:3">
      <c r="A57" s="20"/>
      <c r="B57" s="20"/>
      <c r="C57" s="20"/>
    </row>
    <row r="58" spans="1:3">
      <c r="A58" s="20"/>
      <c r="B58" s="20"/>
      <c r="C58" s="20"/>
    </row>
    <row r="59" spans="1:3">
      <c r="A59" s="3"/>
    </row>
    <row r="60" spans="1:3">
      <c r="A60" s="3"/>
    </row>
    <row r="61" spans="1:3">
      <c r="A61" s="3"/>
    </row>
    <row r="62" spans="1:3">
      <c r="A62" s="3"/>
    </row>
    <row r="63" spans="1:3">
      <c r="A63" s="3"/>
    </row>
    <row r="64" spans="1:3">
      <c r="A64" s="3"/>
    </row>
    <row r="65" spans="1:1">
      <c r="A65" s="3"/>
    </row>
    <row r="66" spans="1:1">
      <c r="A66" s="3"/>
    </row>
    <row r="67" spans="1:1">
      <c r="A67" s="3"/>
    </row>
    <row r="68" spans="1:1">
      <c r="A68" s="3"/>
    </row>
    <row r="69" spans="1:1">
      <c r="A69" s="3"/>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2"/>
  <sheetViews>
    <sheetView topLeftCell="A17" workbookViewId="0">
      <selection activeCell="C31" sqref="C31"/>
    </sheetView>
  </sheetViews>
  <sheetFormatPr defaultRowHeight="14.4"/>
  <cols>
    <col min="1" max="1" width="7.77734375" style="1" customWidth="1"/>
    <col min="2" max="2" width="51.77734375" style="2" bestFit="1" customWidth="1"/>
    <col min="3" max="3" width="47.109375" style="2" customWidth="1"/>
    <col min="4" max="4" width="54.44140625" customWidth="1"/>
  </cols>
  <sheetData>
    <row r="1" spans="1:12" ht="21">
      <c r="A1" s="4" t="s">
        <v>49</v>
      </c>
      <c r="B1" s="5" t="s">
        <v>50</v>
      </c>
      <c r="C1" s="5" t="s">
        <v>51</v>
      </c>
      <c r="D1" s="5"/>
      <c r="E1" s="5"/>
      <c r="F1" s="5"/>
      <c r="G1" s="5"/>
      <c r="H1" s="5"/>
      <c r="I1" s="5"/>
      <c r="J1" s="5"/>
      <c r="K1" s="5"/>
      <c r="L1" s="6"/>
    </row>
    <row r="2" spans="1:12" s="20" customFormat="1"/>
    <row r="3" spans="1:12" s="20" customFormat="1">
      <c r="B3" s="2" t="s">
        <v>228</v>
      </c>
      <c r="C3" s="2" t="s">
        <v>200</v>
      </c>
      <c r="D3" s="2"/>
    </row>
    <row r="4" spans="1:12" s="20" customFormat="1" ht="28.8">
      <c r="B4" s="2" t="s">
        <v>201</v>
      </c>
      <c r="C4" s="2" t="s">
        <v>202</v>
      </c>
      <c r="D4" s="2"/>
    </row>
    <row r="5" spans="1:12" s="20" customFormat="1">
      <c r="B5" s="2" t="s">
        <v>360</v>
      </c>
      <c r="C5" s="2" t="s">
        <v>363</v>
      </c>
      <c r="D5" s="2"/>
    </row>
    <row r="6" spans="1:12" s="20" customFormat="1">
      <c r="B6" s="2" t="s">
        <v>203</v>
      </c>
      <c r="C6" s="2" t="s">
        <v>204</v>
      </c>
      <c r="D6" s="2"/>
    </row>
    <row r="7" spans="1:12" s="20" customFormat="1" ht="28.8">
      <c r="B7" s="2" t="s">
        <v>368</v>
      </c>
      <c r="C7" s="2" t="s">
        <v>369</v>
      </c>
      <c r="D7" s="2"/>
    </row>
    <row r="8" spans="1:12" s="20" customFormat="1">
      <c r="B8" s="2" t="s">
        <v>364</v>
      </c>
      <c r="C8" s="2" t="s">
        <v>365</v>
      </c>
      <c r="D8" s="2"/>
    </row>
    <row r="9" spans="1:12" s="20" customFormat="1">
      <c r="B9" s="2" t="s">
        <v>196</v>
      </c>
      <c r="C9" s="2" t="s">
        <v>195</v>
      </c>
      <c r="D9" s="2"/>
    </row>
    <row r="10" spans="1:12" s="20" customFormat="1">
      <c r="B10" s="2" t="s">
        <v>229</v>
      </c>
      <c r="C10" s="2" t="s">
        <v>340</v>
      </c>
      <c r="D10" s="2"/>
    </row>
    <row r="11" spans="1:12" s="20" customFormat="1">
      <c r="B11" s="2" t="s">
        <v>230</v>
      </c>
      <c r="C11" s="2" t="s">
        <v>231</v>
      </c>
      <c r="D11" s="2"/>
    </row>
    <row r="12" spans="1:12" s="20" customFormat="1">
      <c r="B12" s="2" t="s">
        <v>205</v>
      </c>
      <c r="C12" s="2" t="s">
        <v>206</v>
      </c>
      <c r="D12" s="2"/>
    </row>
    <row r="13" spans="1:12" s="20" customFormat="1">
      <c r="B13" s="2" t="s">
        <v>207</v>
      </c>
      <c r="C13" s="2" t="s">
        <v>208</v>
      </c>
      <c r="D13" s="2"/>
    </row>
    <row r="14" spans="1:12" s="20" customFormat="1">
      <c r="B14" s="2" t="s">
        <v>209</v>
      </c>
      <c r="C14" s="2" t="s">
        <v>210</v>
      </c>
      <c r="D14" s="2"/>
    </row>
    <row r="15" spans="1:12" s="20" customFormat="1">
      <c r="B15" s="2" t="s">
        <v>234</v>
      </c>
      <c r="C15" s="2" t="s">
        <v>211</v>
      </c>
      <c r="D15" s="2"/>
    </row>
    <row r="16" spans="1:12" s="20" customFormat="1" ht="28.8">
      <c r="B16" s="2" t="s">
        <v>235</v>
      </c>
      <c r="C16" s="2" t="s">
        <v>236</v>
      </c>
      <c r="D16" s="2"/>
    </row>
    <row r="17" spans="2:4" s="20" customFormat="1" ht="28.8">
      <c r="B17" s="2" t="s">
        <v>237</v>
      </c>
      <c r="C17" s="2" t="s">
        <v>238</v>
      </c>
      <c r="D17" s="2"/>
    </row>
    <row r="18" spans="2:4" s="20" customFormat="1" ht="28.8">
      <c r="B18" s="2" t="s">
        <v>239</v>
      </c>
      <c r="C18" s="2" t="s">
        <v>240</v>
      </c>
      <c r="D18" s="2"/>
    </row>
    <row r="19" spans="2:4" s="20" customFormat="1">
      <c r="B19" s="2" t="s">
        <v>241</v>
      </c>
      <c r="C19" s="2" t="s">
        <v>243</v>
      </c>
      <c r="D19" s="2"/>
    </row>
    <row r="20" spans="2:4" s="20" customFormat="1">
      <c r="B20" s="2" t="s">
        <v>244</v>
      </c>
      <c r="C20" s="2" t="s">
        <v>242</v>
      </c>
      <c r="D20" s="2"/>
    </row>
    <row r="21" spans="2:4" s="20" customFormat="1">
      <c r="B21" s="2" t="s">
        <v>366</v>
      </c>
      <c r="C21" s="2" t="s">
        <v>367</v>
      </c>
      <c r="D21" s="2"/>
    </row>
    <row r="22" spans="2:4" s="20" customFormat="1">
      <c r="B22" s="2" t="s">
        <v>251</v>
      </c>
      <c r="C22" s="2" t="s">
        <v>252</v>
      </c>
      <c r="D22" s="2" t="s">
        <v>253</v>
      </c>
    </row>
    <row r="23" spans="2:4" s="20" customFormat="1">
      <c r="B23" s="2" t="s">
        <v>267</v>
      </c>
      <c r="C23" s="2" t="s">
        <v>268</v>
      </c>
      <c r="D23" s="2"/>
    </row>
    <row r="24" spans="2:4" s="20" customFormat="1">
      <c r="B24" s="2" t="s">
        <v>264</v>
      </c>
      <c r="C24" s="2" t="s">
        <v>260</v>
      </c>
      <c r="D24" s="2"/>
    </row>
    <row r="25" spans="2:4" s="20" customFormat="1">
      <c r="B25" s="2" t="s">
        <v>387</v>
      </c>
      <c r="C25" s="2" t="s">
        <v>388</v>
      </c>
      <c r="D25" s="2"/>
    </row>
    <row r="26" spans="2:4" s="20" customFormat="1">
      <c r="B26" s="2" t="s">
        <v>259</v>
      </c>
      <c r="C26" s="2" t="s">
        <v>261</v>
      </c>
      <c r="D26" s="2"/>
    </row>
    <row r="27" spans="2:4" s="20" customFormat="1">
      <c r="B27" s="2" t="s">
        <v>262</v>
      </c>
      <c r="C27" s="2" t="s">
        <v>263</v>
      </c>
      <c r="D27" s="2"/>
    </row>
    <row r="28" spans="2:4" s="20" customFormat="1">
      <c r="B28" s="2"/>
      <c r="C28" s="2" t="s">
        <v>1419</v>
      </c>
      <c r="D28" s="2"/>
    </row>
    <row r="29" spans="2:4" s="20" customFormat="1">
      <c r="B29" s="2" t="s">
        <v>265</v>
      </c>
      <c r="C29" s="2" t="s">
        <v>266</v>
      </c>
      <c r="D29" s="2"/>
    </row>
    <row r="30" spans="2:4" s="20" customFormat="1" ht="28.8">
      <c r="B30" s="2" t="s">
        <v>1421</v>
      </c>
      <c r="C30" s="2" t="s">
        <v>1422</v>
      </c>
      <c r="D30" s="2"/>
    </row>
    <row r="31" spans="2:4" s="20" customFormat="1" ht="28.8">
      <c r="B31" s="2" t="s">
        <v>1420</v>
      </c>
      <c r="C31" s="2" t="s">
        <v>1422</v>
      </c>
      <c r="D31" s="2"/>
    </row>
    <row r="32" spans="2:4" s="20" customFormat="1" ht="28.8">
      <c r="B32" s="2" t="s">
        <v>269</v>
      </c>
      <c r="C32" s="2" t="s">
        <v>270</v>
      </c>
      <c r="D32" s="2"/>
    </row>
    <row r="33" spans="2:4" s="20" customFormat="1" ht="28.8">
      <c r="B33" s="2" t="s">
        <v>343</v>
      </c>
      <c r="C33" s="2" t="s">
        <v>338</v>
      </c>
      <c r="D33" s="2" t="s">
        <v>341</v>
      </c>
    </row>
    <row r="34" spans="2:4" s="20" customFormat="1" ht="28.8">
      <c r="B34" s="2" t="s">
        <v>344</v>
      </c>
      <c r="C34" s="2" t="s">
        <v>212</v>
      </c>
      <c r="D34" s="2" t="s">
        <v>342</v>
      </c>
    </row>
    <row r="35" spans="2:4" s="20" customFormat="1">
      <c r="B35" s="2" t="s">
        <v>345</v>
      </c>
      <c r="C35" s="2" t="s">
        <v>346</v>
      </c>
      <c r="D35" s="2"/>
    </row>
    <row r="36" spans="2:4" s="20" customFormat="1">
      <c r="B36" s="2" t="s">
        <v>347</v>
      </c>
      <c r="C36" s="2" t="s">
        <v>348</v>
      </c>
      <c r="D36" s="2"/>
    </row>
    <row r="37" spans="2:4" s="20" customFormat="1">
      <c r="B37" s="2" t="s">
        <v>350</v>
      </c>
      <c r="C37" s="2" t="s">
        <v>349</v>
      </c>
      <c r="D37" s="2"/>
    </row>
    <row r="38" spans="2:4" s="20" customFormat="1">
      <c r="B38" s="2" t="s">
        <v>356</v>
      </c>
      <c r="C38" s="2" t="s">
        <v>357</v>
      </c>
      <c r="D38" s="2"/>
    </row>
    <row r="39" spans="2:4" s="20" customFormat="1">
      <c r="B39" s="2" t="s">
        <v>351</v>
      </c>
      <c r="C39" s="2" t="s">
        <v>352</v>
      </c>
      <c r="D39" s="2"/>
    </row>
    <row r="40" spans="2:4" s="20" customFormat="1" ht="28.8">
      <c r="B40" s="2" t="s">
        <v>353</v>
      </c>
      <c r="C40" s="2" t="s">
        <v>354</v>
      </c>
      <c r="D40" s="2"/>
    </row>
    <row r="41" spans="2:4" s="20" customFormat="1">
      <c r="B41" s="2" t="s">
        <v>377</v>
      </c>
      <c r="C41" s="2" t="s">
        <v>370</v>
      </c>
      <c r="D41" s="2"/>
    </row>
    <row r="42" spans="2:4" s="20" customFormat="1">
      <c r="B42" s="2" t="s">
        <v>378</v>
      </c>
      <c r="C42" s="224" t="s">
        <v>379</v>
      </c>
      <c r="D42" s="2"/>
    </row>
    <row r="43" spans="2:4" s="20" customFormat="1" ht="28.8">
      <c r="B43" s="2" t="s">
        <v>380</v>
      </c>
      <c r="C43" s="224"/>
      <c r="D43" s="2"/>
    </row>
    <row r="44" spans="2:4" s="20" customFormat="1">
      <c r="B44" s="2" t="s">
        <v>381</v>
      </c>
      <c r="C44" s="2" t="s">
        <v>382</v>
      </c>
      <c r="D44" s="2"/>
    </row>
    <row r="45" spans="2:4" s="20" customFormat="1">
      <c r="B45" s="2" t="s">
        <v>384</v>
      </c>
      <c r="C45" s="2" t="s">
        <v>385</v>
      </c>
      <c r="D45" s="2"/>
    </row>
    <row r="46" spans="2:4" s="20" customFormat="1">
      <c r="B46" s="2" t="s">
        <v>386</v>
      </c>
      <c r="C46" s="2" t="s">
        <v>1423</v>
      </c>
      <c r="D46" s="2"/>
    </row>
    <row r="47" spans="2:4" s="20" customFormat="1">
      <c r="B47" s="2" t="s">
        <v>1425</v>
      </c>
      <c r="C47" s="2" t="s">
        <v>1426</v>
      </c>
      <c r="D47" s="2"/>
    </row>
    <row r="48" spans="2:4" s="20" customFormat="1">
      <c r="B48" s="2" t="s">
        <v>1424</v>
      </c>
      <c r="C48" s="2" t="s">
        <v>1427</v>
      </c>
      <c r="D48" s="2"/>
    </row>
    <row r="49" spans="1:4" s="20" customFormat="1">
      <c r="B49" s="2"/>
      <c r="C49" s="2"/>
      <c r="D49" s="2"/>
    </row>
    <row r="50" spans="1:4" s="20" customFormat="1" ht="28.8">
      <c r="B50" s="242" t="s">
        <v>1406</v>
      </c>
      <c r="C50" s="2" t="s">
        <v>1407</v>
      </c>
      <c r="D50" s="2"/>
    </row>
    <row r="51" spans="1:4" s="20" customFormat="1">
      <c r="B51" s="242"/>
      <c r="C51" s="2" t="s">
        <v>1408</v>
      </c>
      <c r="D51" s="2"/>
    </row>
    <row r="52" spans="1:4" s="20" customFormat="1">
      <c r="B52" s="242"/>
      <c r="C52" s="2" t="s">
        <v>1409</v>
      </c>
      <c r="D52" s="2"/>
    </row>
    <row r="53" spans="1:4" s="20" customFormat="1">
      <c r="A53" s="20" t="s">
        <v>383</v>
      </c>
      <c r="B53" s="242"/>
      <c r="C53" s="2" t="s">
        <v>1410</v>
      </c>
      <c r="D53" s="2"/>
    </row>
    <row r="54" spans="1:4" s="20" customFormat="1">
      <c r="B54" s="2"/>
      <c r="C54" s="2"/>
      <c r="D54" s="2"/>
    </row>
    <row r="55" spans="1:4" s="20" customFormat="1">
      <c r="B55" s="2" t="s">
        <v>1411</v>
      </c>
      <c r="C55" s="2" t="s">
        <v>1412</v>
      </c>
      <c r="D55" s="2"/>
    </row>
    <row r="56" spans="1:4" s="20" customFormat="1">
      <c r="B56" s="2"/>
      <c r="C56" s="2" t="s">
        <v>1413</v>
      </c>
      <c r="D56" s="2"/>
    </row>
    <row r="57" spans="1:4" s="20" customFormat="1">
      <c r="B57" s="2"/>
      <c r="C57" s="2" t="s">
        <v>1414</v>
      </c>
      <c r="D57" s="2"/>
    </row>
    <row r="58" spans="1:4" s="20" customFormat="1">
      <c r="B58" s="2" t="s">
        <v>1415</v>
      </c>
      <c r="C58" s="2" t="s">
        <v>1416</v>
      </c>
      <c r="D58" s="2"/>
    </row>
    <row r="59" spans="1:4" s="20" customFormat="1">
      <c r="B59" s="2"/>
      <c r="C59" s="2"/>
      <c r="D59" s="2"/>
    </row>
    <row r="60" spans="1:4" s="20" customFormat="1">
      <c r="B60" s="2"/>
      <c r="C60" s="2"/>
      <c r="D60" s="2"/>
    </row>
    <row r="61" spans="1:4" s="20" customFormat="1">
      <c r="B61" s="2"/>
      <c r="C61" s="2"/>
      <c r="D61" s="2"/>
    </row>
    <row r="62" spans="1:4" s="20" customFormat="1">
      <c r="B62" s="2" t="s">
        <v>323</v>
      </c>
      <c r="C62" s="2" t="s">
        <v>324</v>
      </c>
      <c r="D62" s="2" t="s">
        <v>325</v>
      </c>
    </row>
    <row r="63" spans="1:4" s="20" customFormat="1">
      <c r="B63" s="2"/>
      <c r="C63" s="28" t="s">
        <v>200</v>
      </c>
      <c r="D63" s="2" t="s">
        <v>327</v>
      </c>
    </row>
    <row r="64" spans="1:4" s="20" customFormat="1">
      <c r="B64" s="2"/>
      <c r="C64" s="28" t="s">
        <v>326</v>
      </c>
      <c r="D64" s="2" t="s">
        <v>329</v>
      </c>
    </row>
    <row r="65" spans="2:4" s="20" customFormat="1">
      <c r="B65" s="2"/>
      <c r="C65" s="2" t="s">
        <v>328</v>
      </c>
      <c r="D65" s="2"/>
    </row>
    <row r="66" spans="2:4" s="20" customFormat="1">
      <c r="B66" s="2"/>
      <c r="C66" s="28" t="s">
        <v>330</v>
      </c>
      <c r="D66" s="2" t="s">
        <v>331</v>
      </c>
    </row>
    <row r="67" spans="2:4" s="20" customFormat="1">
      <c r="B67" s="2"/>
      <c r="C67" s="28" t="s">
        <v>332</v>
      </c>
      <c r="D67" s="2" t="s">
        <v>333</v>
      </c>
    </row>
    <row r="68" spans="2:4" s="20" customFormat="1">
      <c r="B68" s="2"/>
      <c r="C68" s="2" t="s">
        <v>336</v>
      </c>
      <c r="D68" s="2"/>
    </row>
    <row r="69" spans="2:4" s="20" customFormat="1">
      <c r="B69" s="2"/>
      <c r="C69" s="28" t="s">
        <v>334</v>
      </c>
      <c r="D69" s="2" t="s">
        <v>335</v>
      </c>
    </row>
    <row r="70" spans="2:4" s="20" customFormat="1">
      <c r="B70" s="2"/>
      <c r="C70" s="28" t="s">
        <v>212</v>
      </c>
      <c r="D70" s="2" t="s">
        <v>339</v>
      </c>
    </row>
    <row r="71" spans="2:4" s="20" customFormat="1">
      <c r="B71" s="2"/>
      <c r="C71" s="2" t="s">
        <v>337</v>
      </c>
      <c r="D71" s="2"/>
    </row>
    <row r="72" spans="2:4" s="20" customFormat="1">
      <c r="B72" s="2"/>
      <c r="C72" s="2"/>
      <c r="D72" s="2"/>
    </row>
    <row r="73" spans="2:4" s="20" customFormat="1">
      <c r="B73" s="2" t="s">
        <v>1417</v>
      </c>
      <c r="C73" s="2" t="s">
        <v>1418</v>
      </c>
      <c r="D73" s="2"/>
    </row>
    <row r="74" spans="2:4" s="20" customFormat="1">
      <c r="B74" s="2"/>
      <c r="C74" s="2"/>
      <c r="D74" s="2"/>
    </row>
    <row r="75" spans="2:4" s="20" customFormat="1">
      <c r="B75" s="2"/>
      <c r="C75" s="2"/>
      <c r="D75" s="2"/>
    </row>
    <row r="76" spans="2:4" s="20" customFormat="1" ht="28.8">
      <c r="B76" s="2" t="s">
        <v>358</v>
      </c>
      <c r="C76" s="2" t="s">
        <v>359</v>
      </c>
      <c r="D76" s="2"/>
    </row>
    <row r="77" spans="2:4" s="20" customFormat="1" ht="28.8">
      <c r="B77" s="2" t="s">
        <v>361</v>
      </c>
      <c r="C77" s="2" t="s">
        <v>362</v>
      </c>
      <c r="D77" s="2"/>
    </row>
    <row r="78" spans="2:4" s="20" customFormat="1">
      <c r="B78" s="242" t="s">
        <v>371</v>
      </c>
      <c r="C78" s="2" t="s">
        <v>372</v>
      </c>
      <c r="D78" s="2"/>
    </row>
    <row r="79" spans="2:4" s="20" customFormat="1">
      <c r="B79" s="242"/>
      <c r="C79" s="2" t="s">
        <v>373</v>
      </c>
      <c r="D79" s="2"/>
    </row>
    <row r="80" spans="2:4" s="20" customFormat="1">
      <c r="B80" s="242"/>
      <c r="C80" s="2" t="s">
        <v>374</v>
      </c>
      <c r="D80" s="2"/>
    </row>
    <row r="81" spans="1:4" s="20" customFormat="1">
      <c r="B81" s="242"/>
      <c r="C81" s="2" t="s">
        <v>375</v>
      </c>
      <c r="D81" s="2"/>
    </row>
    <row r="82" spans="1:4" s="20" customFormat="1">
      <c r="B82" s="242"/>
      <c r="C82" s="2" t="s">
        <v>376</v>
      </c>
      <c r="D82" s="2"/>
    </row>
    <row r="83" spans="1:4" s="20" customFormat="1">
      <c r="B83" s="2"/>
      <c r="C83" s="2"/>
      <c r="D83" s="2"/>
    </row>
    <row r="84" spans="1:4" s="20" customFormat="1">
      <c r="B84" s="2"/>
      <c r="C84" s="2"/>
      <c r="D84" s="2"/>
    </row>
    <row r="85" spans="1:4" s="20" customFormat="1">
      <c r="B85" s="2" t="s">
        <v>389</v>
      </c>
      <c r="C85" s="2"/>
      <c r="D85" s="2"/>
    </row>
    <row r="86" spans="1:4" s="20" customFormat="1">
      <c r="B86" s="2"/>
      <c r="C86" s="2"/>
      <c r="D86" s="2"/>
    </row>
    <row r="87" spans="1:4" s="20" customFormat="1">
      <c r="B87" s="2"/>
      <c r="C87" s="2"/>
      <c r="D87" s="2"/>
    </row>
    <row r="88" spans="1:4" s="20" customFormat="1">
      <c r="B88" s="2"/>
      <c r="C88" s="2"/>
      <c r="D88" s="2"/>
    </row>
    <row r="89" spans="1:4">
      <c r="A89" s="3"/>
    </row>
    <row r="90" spans="1:4">
      <c r="A90" s="3"/>
    </row>
    <row r="91" spans="1:4">
      <c r="A91" s="3"/>
    </row>
    <row r="92" spans="1:4">
      <c r="A92" s="3"/>
    </row>
  </sheetData>
  <mergeCells count="3">
    <mergeCell ref="B78:B82"/>
    <mergeCell ref="C42:C43"/>
    <mergeCell ref="B50:B5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A0B1E-CE27-4CF9-A56D-4922BDDAB55F}">
  <dimension ref="A1"/>
  <sheetViews>
    <sheetView workbookViewId="0"/>
  </sheetViews>
  <sheetFormatPr defaultRowHeight="14.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01"/>
  <sheetViews>
    <sheetView topLeftCell="B1" zoomScaleNormal="100" workbookViewId="0">
      <selection activeCell="D13" sqref="D13"/>
    </sheetView>
  </sheetViews>
  <sheetFormatPr defaultRowHeight="14.4"/>
  <cols>
    <col min="1" max="1" width="7.77734375" style="1" customWidth="1"/>
    <col min="2" max="2" width="47.21875" style="2" bestFit="1" customWidth="1"/>
    <col min="3" max="3" width="59.88671875" style="2" customWidth="1"/>
    <col min="4" max="4" width="53.33203125" customWidth="1"/>
    <col min="6" max="6" width="59.109375" customWidth="1"/>
  </cols>
  <sheetData>
    <row r="1" spans="1:12" ht="21">
      <c r="A1" s="4" t="s">
        <v>49</v>
      </c>
      <c r="B1" s="5" t="s">
        <v>50</v>
      </c>
      <c r="C1" s="5" t="s">
        <v>51</v>
      </c>
      <c r="D1" s="5"/>
      <c r="E1" s="5"/>
      <c r="F1" s="5"/>
      <c r="G1" s="5"/>
      <c r="H1" s="5"/>
      <c r="I1" s="5"/>
      <c r="J1" s="5"/>
      <c r="K1" s="5"/>
      <c r="L1" s="6"/>
    </row>
    <row r="2" spans="1:12">
      <c r="A2" s="3"/>
      <c r="F2" s="233" t="s">
        <v>1329</v>
      </c>
    </row>
    <row r="3" spans="1:12">
      <c r="A3" s="3"/>
      <c r="F3" s="234"/>
    </row>
    <row r="4" spans="1:12">
      <c r="A4" s="3"/>
      <c r="F4" s="234"/>
    </row>
    <row r="5" spans="1:12">
      <c r="A5" s="3"/>
      <c r="F5" s="234"/>
    </row>
    <row r="6" spans="1:12">
      <c r="A6" s="3"/>
      <c r="F6" s="234"/>
    </row>
    <row r="7" spans="1:12" ht="18">
      <c r="A7" s="3"/>
      <c r="B7" s="73" t="s">
        <v>1298</v>
      </c>
      <c r="F7" s="234"/>
    </row>
    <row r="8" spans="1:12" ht="72">
      <c r="A8" s="3"/>
      <c r="B8" s="2" t="s">
        <v>1301</v>
      </c>
      <c r="C8" s="2" t="s">
        <v>1299</v>
      </c>
      <c r="F8" s="234"/>
    </row>
    <row r="9" spans="1:12">
      <c r="A9" s="3"/>
      <c r="C9" s="2" t="s">
        <v>1300</v>
      </c>
      <c r="F9" s="234"/>
    </row>
    <row r="10" spans="1:12">
      <c r="A10" s="3"/>
      <c r="C10" s="2" t="s">
        <v>1302</v>
      </c>
      <c r="F10" s="234"/>
    </row>
    <row r="11" spans="1:12">
      <c r="A11" s="3"/>
      <c r="F11" s="234"/>
    </row>
    <row r="12" spans="1:12" ht="28.8">
      <c r="A12" s="3"/>
      <c r="B12" s="2" t="s">
        <v>1303</v>
      </c>
      <c r="C12" s="2" t="s">
        <v>1308</v>
      </c>
      <c r="F12" s="234"/>
    </row>
    <row r="13" spans="1:12">
      <c r="A13" s="3"/>
      <c r="C13" s="2" t="s">
        <v>1309</v>
      </c>
      <c r="F13" s="234"/>
    </row>
    <row r="14" spans="1:12">
      <c r="A14" s="3"/>
      <c r="C14" s="2" t="s">
        <v>1310</v>
      </c>
      <c r="F14" s="234"/>
    </row>
    <row r="15" spans="1:12">
      <c r="A15" s="3"/>
      <c r="C15" s="2" t="s">
        <v>1311</v>
      </c>
      <c r="F15" s="234"/>
    </row>
    <row r="16" spans="1:12">
      <c r="A16" s="3"/>
      <c r="B16" s="2" t="s">
        <v>1304</v>
      </c>
      <c r="C16" s="2" t="s">
        <v>1623</v>
      </c>
      <c r="F16" s="234"/>
    </row>
    <row r="17" spans="1:6">
      <c r="A17" s="3"/>
      <c r="C17" s="2" t="s">
        <v>1625</v>
      </c>
      <c r="F17" s="234"/>
    </row>
    <row r="18" spans="1:6">
      <c r="A18" s="3"/>
      <c r="B18" s="2" t="s">
        <v>1305</v>
      </c>
      <c r="C18" s="2" t="s">
        <v>1306</v>
      </c>
      <c r="F18" s="234"/>
    </row>
    <row r="19" spans="1:6">
      <c r="A19" s="3"/>
      <c r="C19" s="2" t="s">
        <v>1624</v>
      </c>
      <c r="F19" s="234"/>
    </row>
    <row r="20" spans="1:6">
      <c r="A20" s="3"/>
      <c r="B20" s="7" t="s">
        <v>1307</v>
      </c>
      <c r="C20" s="2" t="s">
        <v>1312</v>
      </c>
      <c r="F20" s="234"/>
    </row>
    <row r="21" spans="1:6">
      <c r="A21" s="3"/>
      <c r="B21" s="7"/>
      <c r="C21" s="2" t="s">
        <v>1626</v>
      </c>
    </row>
    <row r="22" spans="1:6">
      <c r="A22" s="3"/>
      <c r="B22" s="7" t="s">
        <v>1313</v>
      </c>
      <c r="C22" s="2" t="s">
        <v>1314</v>
      </c>
    </row>
    <row r="23" spans="1:6">
      <c r="A23" s="3"/>
      <c r="C23" s="2" t="s">
        <v>1315</v>
      </c>
    </row>
    <row r="24" spans="1:6">
      <c r="A24" s="3"/>
      <c r="C24" s="2" t="s">
        <v>1316</v>
      </c>
    </row>
    <row r="25" spans="1:6" ht="72">
      <c r="A25" s="3"/>
      <c r="B25" s="7"/>
      <c r="C25" s="2" t="s">
        <v>1317</v>
      </c>
    </row>
    <row r="26" spans="1:6">
      <c r="A26" s="3"/>
      <c r="B26" s="7"/>
    </row>
    <row r="27" spans="1:6" ht="18">
      <c r="A27" s="3"/>
      <c r="B27" s="73" t="s">
        <v>1323</v>
      </c>
    </row>
    <row r="28" spans="1:6" ht="57.6">
      <c r="A28" s="3"/>
      <c r="B28" s="2" t="s">
        <v>1321</v>
      </c>
      <c r="C28" s="2" t="s">
        <v>1324</v>
      </c>
    </row>
    <row r="29" spans="1:6">
      <c r="A29" s="3"/>
    </row>
    <row r="30" spans="1:6" ht="18">
      <c r="A30" s="3"/>
      <c r="B30" s="73" t="s">
        <v>1318</v>
      </c>
    </row>
    <row r="31" spans="1:6" ht="201.6">
      <c r="A31" s="3"/>
      <c r="B31" s="7" t="s">
        <v>1319</v>
      </c>
      <c r="C31" s="2" t="s">
        <v>1320</v>
      </c>
    </row>
    <row r="32" spans="1:6" ht="43.2">
      <c r="A32" s="3"/>
      <c r="B32" s="2" t="s">
        <v>1321</v>
      </c>
      <c r="C32" s="2" t="s">
        <v>1477</v>
      </c>
    </row>
    <row r="33" spans="1:4" ht="86.4">
      <c r="A33" s="3"/>
      <c r="B33" s="2" t="s">
        <v>1322</v>
      </c>
      <c r="C33" s="2" t="s">
        <v>1325</v>
      </c>
    </row>
    <row r="34" spans="1:4">
      <c r="A34" s="3"/>
      <c r="B34" s="2" t="s">
        <v>1326</v>
      </c>
      <c r="C34" s="2" t="s">
        <v>1327</v>
      </c>
    </row>
    <row r="35" spans="1:4">
      <c r="A35" s="3"/>
      <c r="B35" s="7"/>
      <c r="C35" s="2" t="s">
        <v>1328</v>
      </c>
    </row>
    <row r="36" spans="1:4" ht="86.4">
      <c r="A36" s="3"/>
      <c r="B36" s="7"/>
      <c r="C36" s="2" t="s">
        <v>1428</v>
      </c>
    </row>
    <row r="37" spans="1:4">
      <c r="A37" s="3"/>
      <c r="B37" s="7"/>
    </row>
    <row r="38" spans="1:4" ht="18">
      <c r="A38" s="3"/>
      <c r="B38" s="73" t="s">
        <v>1330</v>
      </c>
    </row>
    <row r="39" spans="1:4">
      <c r="A39" s="3"/>
      <c r="B39" s="7"/>
    </row>
    <row r="40" spans="1:4">
      <c r="A40" s="3"/>
      <c r="B40" s="7" t="s">
        <v>1331</v>
      </c>
      <c r="C40" s="2" t="s">
        <v>1628</v>
      </c>
    </row>
    <row r="41" spans="1:4">
      <c r="A41" s="3"/>
      <c r="B41" s="7" t="s">
        <v>1332</v>
      </c>
      <c r="C41" s="2" t="s">
        <v>1333</v>
      </c>
    </row>
    <row r="42" spans="1:4" ht="57.6">
      <c r="A42" s="3"/>
      <c r="B42" s="7"/>
      <c r="C42" s="2" t="s">
        <v>1629</v>
      </c>
    </row>
    <row r="43" spans="1:4">
      <c r="A43" s="3"/>
      <c r="B43" s="7"/>
    </row>
    <row r="44" spans="1:4" ht="18">
      <c r="A44" s="3"/>
      <c r="B44" s="73" t="s">
        <v>1334</v>
      </c>
    </row>
    <row r="45" spans="1:4" ht="172.8">
      <c r="A45" s="3"/>
      <c r="B45" s="7" t="s">
        <v>1335</v>
      </c>
      <c r="C45" s="2" t="s">
        <v>1336</v>
      </c>
      <c r="D45" s="2" t="s">
        <v>1337</v>
      </c>
    </row>
    <row r="46" spans="1:4">
      <c r="A46" s="3"/>
      <c r="B46" s="7"/>
    </row>
    <row r="47" spans="1:4">
      <c r="A47" s="3"/>
      <c r="B47" s="7" t="s">
        <v>1338</v>
      </c>
      <c r="C47" s="2" t="s">
        <v>1339</v>
      </c>
    </row>
    <row r="48" spans="1:4">
      <c r="A48" s="3"/>
      <c r="B48" s="7"/>
    </row>
    <row r="49" spans="1:3" ht="18">
      <c r="A49" s="3"/>
      <c r="B49" s="73" t="s">
        <v>1340</v>
      </c>
    </row>
    <row r="50" spans="1:3">
      <c r="A50" s="3"/>
      <c r="C50" s="2" t="s">
        <v>1341</v>
      </c>
    </row>
    <row r="51" spans="1:3">
      <c r="A51" s="3"/>
      <c r="B51" s="2" t="s">
        <v>1335</v>
      </c>
    </row>
    <row r="52" spans="1:3" ht="28.8">
      <c r="A52" s="3"/>
      <c r="B52" s="2" t="s">
        <v>1342</v>
      </c>
      <c r="C52" s="2" t="s">
        <v>1344</v>
      </c>
    </row>
    <row r="53" spans="1:3" ht="43.2">
      <c r="A53" s="3"/>
      <c r="C53" s="2" t="s">
        <v>1345</v>
      </c>
    </row>
    <row r="54" spans="1:3">
      <c r="A54" s="3"/>
      <c r="B54" s="2" t="s">
        <v>1343</v>
      </c>
      <c r="C54" s="2" t="s">
        <v>1346</v>
      </c>
    </row>
    <row r="55" spans="1:3" ht="28.8">
      <c r="A55" s="3"/>
      <c r="C55" s="2" t="s">
        <v>1347</v>
      </c>
    </row>
    <row r="56" spans="1:3">
      <c r="A56" s="3"/>
    </row>
    <row r="57" spans="1:3" ht="18">
      <c r="A57" s="3"/>
      <c r="B57" s="73" t="s">
        <v>1348</v>
      </c>
    </row>
    <row r="58" spans="1:3" ht="28.8">
      <c r="A58" s="3"/>
      <c r="C58" s="2" t="s">
        <v>1349</v>
      </c>
    </row>
    <row r="59" spans="1:3" ht="28.8">
      <c r="A59" s="3"/>
      <c r="B59" s="2" t="s">
        <v>1352</v>
      </c>
    </row>
    <row r="60" spans="1:3">
      <c r="A60" s="3"/>
      <c r="B60" s="2" t="s">
        <v>1335</v>
      </c>
    </row>
    <row r="61" spans="1:3">
      <c r="A61" s="3"/>
      <c r="C61" s="2" t="s">
        <v>1350</v>
      </c>
    </row>
    <row r="62" spans="1:3">
      <c r="A62" s="3"/>
      <c r="C62" s="2" t="s">
        <v>1351</v>
      </c>
    </row>
    <row r="63" spans="1:3">
      <c r="A63" s="3"/>
      <c r="B63" s="2" t="s">
        <v>1627</v>
      </c>
      <c r="C63" s="82" t="s">
        <v>1353</v>
      </c>
    </row>
    <row r="64" spans="1:3">
      <c r="A64" s="3"/>
      <c r="B64" s="2" t="s">
        <v>1355</v>
      </c>
      <c r="C64" s="156" t="s">
        <v>1354</v>
      </c>
    </row>
    <row r="65" spans="1:3">
      <c r="A65" s="3"/>
      <c r="B65" s="2" t="s">
        <v>1360</v>
      </c>
      <c r="C65" s="82" t="s">
        <v>1371</v>
      </c>
    </row>
    <row r="66" spans="1:3">
      <c r="A66" s="3"/>
      <c r="C66" s="2" t="s">
        <v>1361</v>
      </c>
    </row>
    <row r="67" spans="1:3">
      <c r="A67" s="3"/>
      <c r="B67" s="2" t="s">
        <v>1357</v>
      </c>
      <c r="C67" s="2" t="s">
        <v>1356</v>
      </c>
    </row>
    <row r="68" spans="1:3">
      <c r="A68" s="3"/>
      <c r="B68" s="2" t="s">
        <v>1359</v>
      </c>
      <c r="C68" s="82" t="s">
        <v>1358</v>
      </c>
    </row>
    <row r="69" spans="1:3">
      <c r="A69" s="3"/>
    </row>
    <row r="70" spans="1:3">
      <c r="A70" s="3"/>
      <c r="B70" s="2" t="s">
        <v>1363</v>
      </c>
      <c r="C70" s="82" t="s">
        <v>1362</v>
      </c>
    </row>
    <row r="71" spans="1:3">
      <c r="A71" s="3"/>
      <c r="B71" s="2" t="s">
        <v>1365</v>
      </c>
      <c r="C71" s="82" t="s">
        <v>1364</v>
      </c>
    </row>
    <row r="72" spans="1:3">
      <c r="A72" s="3"/>
      <c r="B72" s="2" t="s">
        <v>1370</v>
      </c>
      <c r="C72" s="82" t="s">
        <v>1372</v>
      </c>
    </row>
    <row r="73" spans="1:3">
      <c r="A73" s="3"/>
      <c r="C73" s="2" t="s">
        <v>1373</v>
      </c>
    </row>
    <row r="74" spans="1:3">
      <c r="A74" s="3"/>
      <c r="B74" s="2" t="s">
        <v>1367</v>
      </c>
      <c r="C74" s="2" t="s">
        <v>1366</v>
      </c>
    </row>
    <row r="75" spans="1:3">
      <c r="A75" s="3"/>
      <c r="B75" s="2" t="s">
        <v>1369</v>
      </c>
      <c r="C75" s="82" t="s">
        <v>1368</v>
      </c>
    </row>
    <row r="77" spans="1:3" ht="18">
      <c r="B77" s="73" t="s">
        <v>1374</v>
      </c>
    </row>
    <row r="78" spans="1:3" ht="28.8">
      <c r="C78" s="2" t="s">
        <v>1375</v>
      </c>
    </row>
    <row r="79" spans="1:3">
      <c r="C79" s="2" t="s">
        <v>1379</v>
      </c>
    </row>
    <row r="80" spans="1:3" ht="15.6">
      <c r="B80" s="83" t="s">
        <v>1376</v>
      </c>
    </row>
    <row r="81" spans="2:4">
      <c r="B81" s="68" t="s">
        <v>1377</v>
      </c>
    </row>
    <row r="82" spans="2:4" ht="57.6">
      <c r="B82" s="2" t="s">
        <v>1380</v>
      </c>
      <c r="C82" s="2" t="s">
        <v>1381</v>
      </c>
    </row>
    <row r="83" spans="2:4" ht="57.6">
      <c r="B83" s="2" t="s">
        <v>1382</v>
      </c>
      <c r="C83" s="2" t="s">
        <v>1383</v>
      </c>
    </row>
    <row r="84" spans="2:4">
      <c r="B84" s="68" t="s">
        <v>1378</v>
      </c>
    </row>
    <row r="85" spans="2:4" ht="79.95" customHeight="1">
      <c r="B85" s="2" t="s">
        <v>1387</v>
      </c>
      <c r="C85" s="2" t="s">
        <v>1384</v>
      </c>
      <c r="D85" s="232" t="s">
        <v>1390</v>
      </c>
    </row>
    <row r="86" spans="2:4" ht="86.4">
      <c r="B86" s="2" t="s">
        <v>1382</v>
      </c>
      <c r="C86" s="2" t="s">
        <v>1429</v>
      </c>
      <c r="D86" s="223"/>
    </row>
    <row r="88" spans="2:4" ht="15.6">
      <c r="B88" s="83" t="s">
        <v>1385</v>
      </c>
    </row>
    <row r="89" spans="2:4" ht="57.6">
      <c r="B89" s="2" t="s">
        <v>1388</v>
      </c>
      <c r="C89" s="2" t="s">
        <v>1384</v>
      </c>
      <c r="D89" s="232" t="s">
        <v>1389</v>
      </c>
    </row>
    <row r="90" spans="2:4" ht="100.95" customHeight="1">
      <c r="B90" s="2" t="s">
        <v>1382</v>
      </c>
      <c r="C90" s="2" t="s">
        <v>1386</v>
      </c>
      <c r="D90" s="232"/>
    </row>
    <row r="92" spans="2:4" ht="216">
      <c r="B92" s="93" t="s">
        <v>1474</v>
      </c>
      <c r="C92" s="2" t="s">
        <v>486</v>
      </c>
    </row>
    <row r="93" spans="2:4" ht="158.4">
      <c r="B93" s="70"/>
      <c r="C93" s="2" t="s">
        <v>487</v>
      </c>
    </row>
    <row r="94" spans="2:4" ht="172.8">
      <c r="B94" s="70"/>
      <c r="C94" s="2" t="s">
        <v>488</v>
      </c>
    </row>
    <row r="95" spans="2:4" ht="115.2">
      <c r="B95" s="70"/>
      <c r="C95" s="2" t="s">
        <v>489</v>
      </c>
    </row>
    <row r="97" spans="2:3" ht="18">
      <c r="B97" s="93" t="s">
        <v>1475</v>
      </c>
    </row>
    <row r="99" spans="2:3" ht="129.6">
      <c r="B99" s="2" t="s">
        <v>1476</v>
      </c>
      <c r="C99" s="2" t="s">
        <v>1479</v>
      </c>
    </row>
    <row r="100" spans="2:3" ht="67.95" customHeight="1">
      <c r="B100" s="2" t="s">
        <v>1478</v>
      </c>
      <c r="C100" s="228" t="s">
        <v>1481</v>
      </c>
    </row>
    <row r="101" spans="2:3" ht="71.55" customHeight="1">
      <c r="B101" s="2" t="s">
        <v>1480</v>
      </c>
      <c r="C101" s="228"/>
    </row>
  </sheetData>
  <mergeCells count="4">
    <mergeCell ref="D89:D90"/>
    <mergeCell ref="D85:D86"/>
    <mergeCell ref="C100:C101"/>
    <mergeCell ref="F2:F2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4BA4-251D-4610-B6B6-4C6E8AC9EA95}">
  <dimension ref="A1:L136"/>
  <sheetViews>
    <sheetView topLeftCell="B1" zoomScale="130" zoomScaleNormal="130" workbookViewId="0">
      <selection activeCell="B1" sqref="A1:XFD2"/>
    </sheetView>
  </sheetViews>
  <sheetFormatPr defaultRowHeight="14.4"/>
  <cols>
    <col min="1" max="1" width="9.6640625" bestFit="1" customWidth="1"/>
    <col min="2" max="2" width="29.5546875" style="120" bestFit="1" customWidth="1"/>
    <col min="3" max="3" width="72.44140625" bestFit="1" customWidth="1"/>
    <col min="4" max="4" width="55.77734375" customWidth="1"/>
    <col min="5" max="5" width="74.44140625" customWidth="1"/>
  </cols>
  <sheetData>
    <row r="1" spans="1:12" ht="21">
      <c r="A1" s="4" t="s">
        <v>49</v>
      </c>
      <c r="B1" s="174" t="s">
        <v>50</v>
      </c>
      <c r="C1" s="231" t="s">
        <v>51</v>
      </c>
      <c r="D1" s="231"/>
      <c r="E1" s="5"/>
      <c r="F1" s="5"/>
      <c r="G1" s="5"/>
      <c r="H1" s="5"/>
      <c r="I1" s="5"/>
      <c r="J1" s="5"/>
      <c r="K1" s="5"/>
      <c r="L1" s="6"/>
    </row>
    <row r="2" spans="1:12" ht="21">
      <c r="A2" s="4"/>
      <c r="B2" s="174"/>
      <c r="C2" s="160" t="s">
        <v>2228</v>
      </c>
      <c r="D2" s="160" t="s">
        <v>1822</v>
      </c>
      <c r="E2" s="5"/>
      <c r="F2" s="5"/>
      <c r="G2" s="5"/>
      <c r="H2" s="5"/>
      <c r="I2" s="5"/>
      <c r="J2" s="5"/>
      <c r="K2" s="5"/>
      <c r="L2" s="6"/>
    </row>
    <row r="3" spans="1:12">
      <c r="B3" s="120" t="s">
        <v>2225</v>
      </c>
      <c r="C3" t="s">
        <v>2226</v>
      </c>
    </row>
    <row r="4" spans="1:12" ht="28.8">
      <c r="B4" s="159" t="s">
        <v>2227</v>
      </c>
      <c r="C4" t="s">
        <v>2229</v>
      </c>
      <c r="D4" t="s">
        <v>2230</v>
      </c>
    </row>
    <row r="5" spans="1:12" ht="129.6">
      <c r="B5" s="175" t="s">
        <v>2231</v>
      </c>
      <c r="C5" s="32" t="s">
        <v>2232</v>
      </c>
      <c r="D5" s="32" t="s">
        <v>2233</v>
      </c>
    </row>
    <row r="6" spans="1:12" ht="57.6">
      <c r="B6" s="175" t="s">
        <v>2234</v>
      </c>
      <c r="C6" s="32" t="s">
        <v>2236</v>
      </c>
      <c r="D6" s="32" t="s">
        <v>2235</v>
      </c>
    </row>
    <row r="7" spans="1:12">
      <c r="B7" s="175" t="s">
        <v>2273</v>
      </c>
      <c r="C7" s="32" t="s">
        <v>2274</v>
      </c>
      <c r="D7" s="32"/>
    </row>
    <row r="8" spans="1:12" ht="36.6">
      <c r="B8" s="175" t="s">
        <v>2275</v>
      </c>
      <c r="C8" s="165" t="s">
        <v>2277</v>
      </c>
      <c r="D8" s="163" t="s">
        <v>2276</v>
      </c>
    </row>
    <row r="9" spans="1:12" ht="28.8">
      <c r="B9" s="120" t="s">
        <v>2280</v>
      </c>
      <c r="C9" s="32" t="s">
        <v>2281</v>
      </c>
      <c r="D9" s="163"/>
    </row>
    <row r="10" spans="1:12" ht="36.6">
      <c r="B10" s="175" t="s">
        <v>2278</v>
      </c>
      <c r="C10" s="165" t="s">
        <v>2283</v>
      </c>
      <c r="D10" s="163" t="s">
        <v>2282</v>
      </c>
    </row>
    <row r="11" spans="1:12" ht="28.8">
      <c r="B11" s="120" t="s">
        <v>2280</v>
      </c>
      <c r="C11" s="32" t="s">
        <v>2284</v>
      </c>
      <c r="D11" s="163"/>
    </row>
    <row r="12" spans="1:12" ht="48.6">
      <c r="B12" s="175" t="s">
        <v>2279</v>
      </c>
      <c r="C12" s="165" t="s">
        <v>2286</v>
      </c>
      <c r="D12" s="163" t="s">
        <v>2285</v>
      </c>
    </row>
    <row r="13" spans="1:12">
      <c r="B13" s="120" t="s">
        <v>2280</v>
      </c>
      <c r="C13" s="161" t="s">
        <v>2287</v>
      </c>
    </row>
    <row r="14" spans="1:12" ht="75.599999999999994">
      <c r="B14" s="175" t="s">
        <v>2288</v>
      </c>
      <c r="C14" s="168" t="s">
        <v>2289</v>
      </c>
    </row>
    <row r="15" spans="1:12">
      <c r="C15" s="167"/>
      <c r="D15" s="166"/>
    </row>
    <row r="16" spans="1:12">
      <c r="C16" s="167"/>
      <c r="D16" s="169"/>
    </row>
    <row r="17" spans="2:4">
      <c r="B17" s="175" t="s">
        <v>2237</v>
      </c>
      <c r="C17" t="s">
        <v>2238</v>
      </c>
      <c r="D17" s="169"/>
    </row>
    <row r="18" spans="2:4" ht="50.4">
      <c r="B18" s="175" t="s">
        <v>2290</v>
      </c>
      <c r="C18" s="168" t="s">
        <v>2292</v>
      </c>
      <c r="D18" s="168" t="s">
        <v>2291</v>
      </c>
    </row>
    <row r="19" spans="2:4" ht="37.799999999999997">
      <c r="B19" s="120" t="s">
        <v>2294</v>
      </c>
      <c r="C19" s="168" t="s">
        <v>2296</v>
      </c>
      <c r="D19" s="168" t="s">
        <v>2295</v>
      </c>
    </row>
    <row r="20" spans="2:4" ht="50.4">
      <c r="B20" s="175" t="s">
        <v>2293</v>
      </c>
      <c r="C20" s="168" t="s">
        <v>2298</v>
      </c>
      <c r="D20" s="168" t="s">
        <v>2297</v>
      </c>
    </row>
    <row r="21" spans="2:4" ht="37.799999999999997">
      <c r="B21" s="120" t="s">
        <v>2294</v>
      </c>
      <c r="C21" s="168" t="s">
        <v>2300</v>
      </c>
      <c r="D21" s="168" t="s">
        <v>2299</v>
      </c>
    </row>
    <row r="22" spans="2:4">
      <c r="C22" s="168"/>
      <c r="D22" s="168"/>
    </row>
    <row r="23" spans="2:4" ht="28.8">
      <c r="B23" s="176" t="s">
        <v>2301</v>
      </c>
      <c r="C23" s="168" t="s">
        <v>2303</v>
      </c>
      <c r="D23" s="168" t="s">
        <v>2302</v>
      </c>
    </row>
    <row r="24" spans="2:4" ht="28.8">
      <c r="B24" s="176" t="s">
        <v>2309</v>
      </c>
      <c r="C24" s="168" t="s">
        <v>2310</v>
      </c>
    </row>
    <row r="25" spans="2:4">
      <c r="B25" s="176"/>
      <c r="C25" s="168"/>
    </row>
    <row r="26" spans="2:4">
      <c r="B26" s="176" t="s">
        <v>2363</v>
      </c>
      <c r="C26" s="168" t="s">
        <v>2364</v>
      </c>
      <c r="D26" s="166" t="s">
        <v>2371</v>
      </c>
    </row>
    <row r="27" spans="2:4">
      <c r="B27" s="176" t="s">
        <v>2365</v>
      </c>
      <c r="C27" s="168" t="s">
        <v>2366</v>
      </c>
      <c r="D27" s="44"/>
    </row>
    <row r="28" spans="2:4">
      <c r="B28" s="176" t="s">
        <v>2367</v>
      </c>
      <c r="C28" s="168" t="s">
        <v>2369</v>
      </c>
      <c r="D28" s="169" t="s">
        <v>2372</v>
      </c>
    </row>
    <row r="29" spans="2:4">
      <c r="B29" s="176" t="s">
        <v>2368</v>
      </c>
      <c r="C29" s="168" t="s">
        <v>2370</v>
      </c>
      <c r="D29" s="169" t="s">
        <v>2373</v>
      </c>
    </row>
    <row r="30" spans="2:4">
      <c r="B30" s="176"/>
      <c r="C30" s="168"/>
      <c r="D30" s="169" t="s">
        <v>2374</v>
      </c>
    </row>
    <row r="31" spans="2:4">
      <c r="B31" s="176"/>
      <c r="C31" s="168"/>
      <c r="D31" s="169" t="s">
        <v>2375</v>
      </c>
    </row>
    <row r="32" spans="2:4">
      <c r="B32" s="176"/>
      <c r="C32" s="168"/>
    </row>
    <row r="33" spans="2:4">
      <c r="B33" s="176"/>
      <c r="C33" s="168"/>
    </row>
    <row r="34" spans="2:4">
      <c r="C34" s="169"/>
      <c r="D34" s="167"/>
    </row>
    <row r="35" spans="2:4">
      <c r="B35" s="175" t="s">
        <v>699</v>
      </c>
      <c r="C35" s="169"/>
      <c r="D35" s="167"/>
    </row>
    <row r="36" spans="2:4">
      <c r="B36" s="223" t="s">
        <v>2322</v>
      </c>
      <c r="C36" s="169" t="s">
        <v>2324</v>
      </c>
      <c r="D36" s="167"/>
    </row>
    <row r="37" spans="2:4">
      <c r="B37" s="223"/>
      <c r="C37" s="169" t="s">
        <v>2325</v>
      </c>
      <c r="D37" s="167"/>
    </row>
    <row r="38" spans="2:4">
      <c r="B38" s="223"/>
      <c r="C38" s="170" t="s">
        <v>2326</v>
      </c>
      <c r="D38" s="167"/>
    </row>
    <row r="39" spans="2:4">
      <c r="B39" s="223"/>
      <c r="C39" s="170" t="s">
        <v>2327</v>
      </c>
      <c r="D39" s="167"/>
    </row>
    <row r="40" spans="2:4">
      <c r="B40" s="223"/>
      <c r="C40" s="170" t="s">
        <v>2328</v>
      </c>
      <c r="D40" s="167"/>
    </row>
    <row r="41" spans="2:4">
      <c r="B41" s="223"/>
      <c r="C41" s="170" t="s">
        <v>2329</v>
      </c>
      <c r="D41" s="167"/>
    </row>
    <row r="42" spans="2:4">
      <c r="B42" s="223"/>
      <c r="C42" s="161" t="s">
        <v>2330</v>
      </c>
      <c r="D42" s="167"/>
    </row>
    <row r="43" spans="2:4">
      <c r="B43" s="223"/>
      <c r="C43" s="170" t="s">
        <v>2331</v>
      </c>
      <c r="D43" s="167"/>
    </row>
    <row r="44" spans="2:4">
      <c r="B44" s="223" t="s">
        <v>2332</v>
      </c>
      <c r="C44" s="169" t="s">
        <v>2332</v>
      </c>
      <c r="D44" s="169" t="s">
        <v>2332</v>
      </c>
    </row>
    <row r="45" spans="2:4">
      <c r="B45" s="223"/>
      <c r="C45" s="169" t="s">
        <v>2335</v>
      </c>
      <c r="D45" s="169" t="s">
        <v>2333</v>
      </c>
    </row>
    <row r="46" spans="2:4">
      <c r="B46" s="223"/>
      <c r="C46" s="170" t="s">
        <v>2334</v>
      </c>
      <c r="D46" s="170" t="s">
        <v>2334</v>
      </c>
    </row>
    <row r="47" spans="2:4">
      <c r="B47" s="223"/>
      <c r="C47" s="171" t="s">
        <v>2331</v>
      </c>
      <c r="D47" s="171" t="s">
        <v>2331</v>
      </c>
    </row>
    <row r="48" spans="2:4">
      <c r="B48" s="146"/>
      <c r="C48" s="173" t="s">
        <v>2336</v>
      </c>
      <c r="D48" s="167"/>
    </row>
    <row r="49" spans="2:4">
      <c r="B49" s="146"/>
      <c r="C49" s="170"/>
      <c r="D49" s="167"/>
    </row>
    <row r="50" spans="2:4">
      <c r="B50" s="223" t="s">
        <v>2337</v>
      </c>
      <c r="C50" s="169" t="s">
        <v>2337</v>
      </c>
      <c r="D50" s="169" t="s">
        <v>2337</v>
      </c>
    </row>
    <row r="51" spans="2:4">
      <c r="B51" s="223"/>
      <c r="C51" s="169" t="s">
        <v>2340</v>
      </c>
      <c r="D51" s="169" t="s">
        <v>2338</v>
      </c>
    </row>
    <row r="52" spans="2:4">
      <c r="B52" s="223"/>
      <c r="C52" s="171" t="s">
        <v>2334</v>
      </c>
      <c r="D52" s="171" t="s">
        <v>2334</v>
      </c>
    </row>
    <row r="53" spans="2:4">
      <c r="B53" s="223"/>
      <c r="C53" s="171" t="s">
        <v>2341</v>
      </c>
      <c r="D53" s="171" t="s">
        <v>2339</v>
      </c>
    </row>
    <row r="54" spans="2:4">
      <c r="B54" s="223"/>
      <c r="C54" s="170" t="s">
        <v>2331</v>
      </c>
      <c r="D54" s="170" t="s">
        <v>2331</v>
      </c>
    </row>
    <row r="55" spans="2:4">
      <c r="B55" s="146"/>
      <c r="C55" s="170"/>
      <c r="D55" s="170"/>
    </row>
    <row r="56" spans="2:4">
      <c r="B56" s="223" t="s">
        <v>709</v>
      </c>
      <c r="C56" s="169" t="s">
        <v>709</v>
      </c>
      <c r="D56" s="169" t="s">
        <v>709</v>
      </c>
    </row>
    <row r="57" spans="2:4">
      <c r="B57" s="223"/>
      <c r="C57" s="169" t="s">
        <v>2342</v>
      </c>
      <c r="D57" s="169" t="s">
        <v>2342</v>
      </c>
    </row>
    <row r="58" spans="2:4">
      <c r="B58" s="223"/>
      <c r="C58" s="170" t="s">
        <v>2343</v>
      </c>
      <c r="D58" s="170" t="s">
        <v>2343</v>
      </c>
    </row>
    <row r="59" spans="2:4">
      <c r="B59" s="223"/>
      <c r="C59" s="170" t="s">
        <v>2344</v>
      </c>
      <c r="D59" s="170" t="s">
        <v>2344</v>
      </c>
    </row>
    <row r="60" spans="2:4">
      <c r="B60" s="223"/>
      <c r="C60" s="171" t="s">
        <v>2345</v>
      </c>
      <c r="D60" s="171" t="s">
        <v>2345</v>
      </c>
    </row>
    <row r="61" spans="2:4">
      <c r="B61" s="223"/>
      <c r="C61" s="170" t="s">
        <v>2331</v>
      </c>
      <c r="D61" s="170" t="s">
        <v>2331</v>
      </c>
    </row>
    <row r="62" spans="2:4">
      <c r="B62" s="146"/>
      <c r="C62" s="170"/>
      <c r="D62" s="167"/>
    </row>
    <row r="63" spans="2:4">
      <c r="B63" s="146"/>
      <c r="C63" s="170"/>
      <c r="D63" s="167"/>
    </row>
    <row r="64" spans="2:4">
      <c r="B64" s="175" t="s">
        <v>2253</v>
      </c>
      <c r="C64" s="162" t="s">
        <v>2254</v>
      </c>
      <c r="D64" s="167"/>
    </row>
    <row r="65" spans="2:4" ht="28.8">
      <c r="B65" s="32" t="s">
        <v>2255</v>
      </c>
      <c r="C65" s="32" t="s">
        <v>2256</v>
      </c>
      <c r="D65" s="172"/>
    </row>
    <row r="66" spans="2:4">
      <c r="C66" s="32" t="s">
        <v>2257</v>
      </c>
      <c r="D66" s="171"/>
    </row>
    <row r="67" spans="2:4">
      <c r="C67" s="32"/>
      <c r="D67" s="171"/>
    </row>
    <row r="68" spans="2:4">
      <c r="D68" s="170"/>
    </row>
    <row r="69" spans="2:4">
      <c r="B69" s="175" t="s">
        <v>2239</v>
      </c>
    </row>
    <row r="70" spans="2:4" ht="43.2">
      <c r="B70" s="120" t="s">
        <v>2252</v>
      </c>
      <c r="C70" s="32" t="s">
        <v>2247</v>
      </c>
      <c r="D70" s="32" t="s">
        <v>2242</v>
      </c>
    </row>
    <row r="71" spans="2:4" ht="57.6">
      <c r="C71" s="32" t="s">
        <v>2240</v>
      </c>
      <c r="D71" s="32" t="s">
        <v>2259</v>
      </c>
    </row>
    <row r="72" spans="2:4" ht="43.2">
      <c r="B72" s="120" t="s">
        <v>2241</v>
      </c>
      <c r="C72" s="32" t="s">
        <v>2245</v>
      </c>
      <c r="D72" s="161" t="s">
        <v>2244</v>
      </c>
    </row>
    <row r="73" spans="2:4" ht="43.2">
      <c r="B73" s="120" t="s">
        <v>2243</v>
      </c>
      <c r="C73" s="32" t="s">
        <v>2246</v>
      </c>
      <c r="D73" s="161" t="s">
        <v>2248</v>
      </c>
    </row>
    <row r="74" spans="2:4" ht="43.2">
      <c r="B74" s="120" t="s">
        <v>2249</v>
      </c>
      <c r="C74" s="32" t="s">
        <v>2251</v>
      </c>
      <c r="D74" s="161" t="s">
        <v>2250</v>
      </c>
    </row>
    <row r="75" spans="2:4" ht="43.2">
      <c r="B75" s="120" t="s">
        <v>2258</v>
      </c>
      <c r="C75" s="32" t="s">
        <v>2261</v>
      </c>
      <c r="D75" s="163" t="s">
        <v>2260</v>
      </c>
    </row>
    <row r="76" spans="2:4">
      <c r="B76" s="175" t="s">
        <v>2304</v>
      </c>
      <c r="C76" s="32"/>
      <c r="D76" s="163"/>
    </row>
    <row r="77" spans="2:4">
      <c r="B77" s="223" t="s">
        <v>2305</v>
      </c>
      <c r="C77" s="32"/>
      <c r="D77" s="163"/>
    </row>
    <row r="78" spans="2:4">
      <c r="B78" s="223"/>
      <c r="C78" s="161" t="s">
        <v>2317</v>
      </c>
      <c r="D78" s="161" t="s">
        <v>2306</v>
      </c>
    </row>
    <row r="79" spans="2:4">
      <c r="B79" s="223"/>
      <c r="C79" s="161" t="s">
        <v>2318</v>
      </c>
      <c r="D79" s="161" t="s">
        <v>2307</v>
      </c>
    </row>
    <row r="80" spans="2:4">
      <c r="B80" s="223"/>
      <c r="C80" s="161" t="s">
        <v>2319</v>
      </c>
      <c r="D80" s="161" t="s">
        <v>2308</v>
      </c>
    </row>
    <row r="82" spans="2:4">
      <c r="B82" s="146" t="s">
        <v>2315</v>
      </c>
      <c r="C82" s="161" t="s">
        <v>2321</v>
      </c>
      <c r="D82" s="161" t="s">
        <v>2316</v>
      </c>
    </row>
    <row r="83" spans="2:4">
      <c r="B83" s="146"/>
      <c r="C83" s="161"/>
    </row>
    <row r="84" spans="2:4" ht="14.4" customHeight="1">
      <c r="B84" s="232" t="s">
        <v>2377</v>
      </c>
      <c r="C84" s="163" t="s">
        <v>2311</v>
      </c>
    </row>
    <row r="85" spans="2:4">
      <c r="B85" s="232"/>
      <c r="C85" s="161" t="s">
        <v>2312</v>
      </c>
    </row>
    <row r="86" spans="2:4">
      <c r="B86" s="146" t="s">
        <v>2378</v>
      </c>
      <c r="C86" s="161" t="s">
        <v>2379</v>
      </c>
    </row>
    <row r="87" spans="2:4">
      <c r="B87" s="177" t="s">
        <v>2376</v>
      </c>
      <c r="C87" s="161" t="s">
        <v>2383</v>
      </c>
      <c r="D87" s="161" t="s">
        <v>2380</v>
      </c>
    </row>
    <row r="88" spans="2:4">
      <c r="B88" s="146" t="s">
        <v>2381</v>
      </c>
      <c r="C88" s="161" t="s">
        <v>2382</v>
      </c>
    </row>
    <row r="89" spans="2:4">
      <c r="B89" s="146"/>
      <c r="C89" s="161"/>
    </row>
    <row r="90" spans="2:4" ht="28.8">
      <c r="B90" s="32" t="s">
        <v>2346</v>
      </c>
      <c r="C90" s="163" t="s">
        <v>2347</v>
      </c>
      <c r="D90" s="163" t="s">
        <v>2347</v>
      </c>
    </row>
    <row r="91" spans="2:4" ht="28.8">
      <c r="B91" s="32" t="s">
        <v>2349</v>
      </c>
      <c r="C91" s="163" t="s">
        <v>2348</v>
      </c>
      <c r="D91" s="163" t="s">
        <v>2348</v>
      </c>
    </row>
    <row r="92" spans="2:4">
      <c r="B92" s="146" t="s">
        <v>2350</v>
      </c>
      <c r="C92" s="163" t="s">
        <v>2351</v>
      </c>
    </row>
    <row r="93" spans="2:4">
      <c r="B93" s="146"/>
      <c r="C93" s="171" t="s">
        <v>2352</v>
      </c>
    </row>
    <row r="94" spans="2:4">
      <c r="B94" s="146"/>
      <c r="C94" s="172" t="s">
        <v>2353</v>
      </c>
    </row>
    <row r="95" spans="2:4">
      <c r="B95" s="146"/>
      <c r="C95" s="170" t="s">
        <v>2354</v>
      </c>
    </row>
    <row r="96" spans="2:4">
      <c r="B96" s="146"/>
      <c r="C96" s="163" t="s">
        <v>2323</v>
      </c>
    </row>
    <row r="97" spans="2:4">
      <c r="B97" s="146" t="s">
        <v>2313</v>
      </c>
      <c r="C97" s="161" t="s">
        <v>2320</v>
      </c>
      <c r="D97" s="161" t="s">
        <v>2314</v>
      </c>
    </row>
    <row r="98" spans="2:4">
      <c r="B98" s="146" t="s">
        <v>2355</v>
      </c>
      <c r="C98" s="161" t="s">
        <v>2356</v>
      </c>
      <c r="D98" s="161" t="s">
        <v>2314</v>
      </c>
    </row>
    <row r="99" spans="2:4">
      <c r="B99" s="146" t="s">
        <v>2357</v>
      </c>
      <c r="C99" s="161" t="s">
        <v>2359</v>
      </c>
      <c r="D99" s="161" t="s">
        <v>2358</v>
      </c>
    </row>
    <row r="100" spans="2:4" ht="28.8">
      <c r="B100" s="32" t="s">
        <v>2360</v>
      </c>
      <c r="C100" s="161" t="s">
        <v>2362</v>
      </c>
      <c r="D100" s="161" t="s">
        <v>2361</v>
      </c>
    </row>
    <row r="101" spans="2:4">
      <c r="B101" s="146"/>
      <c r="C101" s="161"/>
    </row>
    <row r="102" spans="2:4">
      <c r="B102" s="178" t="s">
        <v>1220</v>
      </c>
      <c r="C102" s="32" t="s">
        <v>2385</v>
      </c>
    </row>
    <row r="103" spans="2:4">
      <c r="B103" s="146" t="s">
        <v>2386</v>
      </c>
      <c r="C103" s="163" t="s">
        <v>2388</v>
      </c>
    </row>
    <row r="104" spans="2:4">
      <c r="B104" s="146" t="s">
        <v>2387</v>
      </c>
      <c r="C104" s="163" t="s">
        <v>2384</v>
      </c>
    </row>
    <row r="105" spans="2:4">
      <c r="B105" s="146" t="s">
        <v>2389</v>
      </c>
      <c r="C105" s="161" t="s">
        <v>2391</v>
      </c>
      <c r="D105" s="161" t="s">
        <v>2393</v>
      </c>
    </row>
    <row r="106" spans="2:4">
      <c r="B106" s="146" t="s">
        <v>2390</v>
      </c>
      <c r="C106" s="161" t="s">
        <v>2392</v>
      </c>
      <c r="D106" s="161" t="s">
        <v>2394</v>
      </c>
    </row>
    <row r="107" spans="2:4">
      <c r="B107" s="146"/>
      <c r="C107" s="161"/>
      <c r="D107" s="161"/>
    </row>
    <row r="108" spans="2:4">
      <c r="B108" s="178" t="s">
        <v>2395</v>
      </c>
      <c r="C108" s="161"/>
      <c r="D108" s="161"/>
    </row>
    <row r="109" spans="2:4">
      <c r="B109" s="146" t="s">
        <v>2396</v>
      </c>
      <c r="C109" s="161" t="s">
        <v>2398</v>
      </c>
      <c r="D109" s="161" t="s">
        <v>2397</v>
      </c>
    </row>
    <row r="110" spans="2:4">
      <c r="B110" s="146" t="s">
        <v>2399</v>
      </c>
      <c r="C110" s="161" t="s">
        <v>2402</v>
      </c>
      <c r="D110" s="161" t="s">
        <v>2400</v>
      </c>
    </row>
    <row r="111" spans="2:4">
      <c r="B111" s="146" t="s">
        <v>2403</v>
      </c>
      <c r="C111" s="161" t="s">
        <v>2401</v>
      </c>
      <c r="D111" s="161" t="s">
        <v>2404</v>
      </c>
    </row>
    <row r="112" spans="2:4">
      <c r="B112" s="146" t="s">
        <v>819</v>
      </c>
      <c r="C112" s="161" t="s">
        <v>2406</v>
      </c>
      <c r="D112" s="161" t="s">
        <v>2405</v>
      </c>
    </row>
    <row r="113" spans="2:4" ht="28.8">
      <c r="B113" s="32" t="s">
        <v>2407</v>
      </c>
      <c r="C113" s="161" t="s">
        <v>2408</v>
      </c>
      <c r="D113" s="161" t="s">
        <v>2409</v>
      </c>
    </row>
    <row r="114" spans="2:4">
      <c r="B114" s="146" t="s">
        <v>2410</v>
      </c>
      <c r="C114" s="161" t="s">
        <v>2412</v>
      </c>
      <c r="D114" s="161" t="s">
        <v>2411</v>
      </c>
    </row>
    <row r="115" spans="2:4">
      <c r="B115" s="146"/>
      <c r="C115" s="161"/>
      <c r="D115" s="161"/>
    </row>
    <row r="116" spans="2:4">
      <c r="B116" s="178" t="s">
        <v>2413</v>
      </c>
      <c r="C116" s="161" t="s">
        <v>2415</v>
      </c>
      <c r="D116" s="161" t="s">
        <v>2414</v>
      </c>
    </row>
    <row r="117" spans="2:4">
      <c r="B117" s="146"/>
      <c r="D117" s="161"/>
    </row>
    <row r="118" spans="2:4">
      <c r="B118" s="178" t="s">
        <v>2416</v>
      </c>
      <c r="C118" s="161"/>
      <c r="D118" s="161"/>
    </row>
    <row r="119" spans="2:4">
      <c r="B119" s="146" t="s">
        <v>2417</v>
      </c>
      <c r="C119" s="161" t="s">
        <v>2419</v>
      </c>
      <c r="D119" s="161"/>
    </row>
    <row r="120" spans="2:4">
      <c r="B120" s="146" t="s">
        <v>2418</v>
      </c>
      <c r="C120" s="161" t="s">
        <v>2420</v>
      </c>
      <c r="D120" s="161"/>
    </row>
    <row r="121" spans="2:4">
      <c r="B121" s="146" t="s">
        <v>2422</v>
      </c>
      <c r="C121" s="161" t="s">
        <v>2421</v>
      </c>
      <c r="D121" s="161"/>
    </row>
    <row r="122" spans="2:4">
      <c r="B122" s="146"/>
      <c r="C122" s="161"/>
      <c r="D122" s="161"/>
    </row>
    <row r="123" spans="2:4">
      <c r="B123" s="146"/>
      <c r="C123" s="161"/>
      <c r="D123" s="161"/>
    </row>
    <row r="124" spans="2:4">
      <c r="B124" s="146"/>
      <c r="C124" s="161"/>
      <c r="D124" s="161"/>
    </row>
    <row r="125" spans="2:4">
      <c r="B125" s="146"/>
      <c r="C125" s="161"/>
      <c r="D125" s="161"/>
    </row>
    <row r="126" spans="2:4">
      <c r="B126" s="146"/>
      <c r="C126" s="161"/>
      <c r="D126" s="161"/>
    </row>
    <row r="127" spans="2:4">
      <c r="B127" s="146"/>
      <c r="C127" s="161"/>
      <c r="D127" s="161"/>
    </row>
    <row r="128" spans="2:4">
      <c r="B128" s="146"/>
      <c r="C128" s="161"/>
      <c r="D128" s="161"/>
    </row>
    <row r="129" spans="2:4">
      <c r="B129" s="146"/>
      <c r="C129" s="161"/>
      <c r="D129" s="161"/>
    </row>
    <row r="130" spans="2:4">
      <c r="C130" s="161"/>
    </row>
    <row r="131" spans="2:4" ht="28.8">
      <c r="B131" s="175" t="s">
        <v>2262</v>
      </c>
      <c r="C131" s="32" t="s">
        <v>2263</v>
      </c>
    </row>
    <row r="132" spans="2:4" ht="36.6">
      <c r="B132" s="120" t="s">
        <v>34</v>
      </c>
      <c r="C132" s="164" t="s">
        <v>2270</v>
      </c>
      <c r="D132" s="161" t="s">
        <v>2264</v>
      </c>
    </row>
    <row r="134" spans="2:4">
      <c r="B134" s="120" t="s">
        <v>2265</v>
      </c>
      <c r="C134" s="32" t="s">
        <v>2266</v>
      </c>
    </row>
    <row r="135" spans="2:4">
      <c r="B135" s="120" t="s">
        <v>2268</v>
      </c>
      <c r="C135" s="161" t="s">
        <v>2269</v>
      </c>
      <c r="D135" s="161" t="s">
        <v>2267</v>
      </c>
    </row>
    <row r="136" spans="2:4">
      <c r="C136" s="161" t="s">
        <v>2272</v>
      </c>
      <c r="D136" s="161" t="s">
        <v>2271</v>
      </c>
    </row>
  </sheetData>
  <mergeCells count="7">
    <mergeCell ref="C1:D1"/>
    <mergeCell ref="B84:B85"/>
    <mergeCell ref="B77:B80"/>
    <mergeCell ref="B36:B43"/>
    <mergeCell ref="B44:B47"/>
    <mergeCell ref="B50:B54"/>
    <mergeCell ref="B56:B6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4"/>
  <sheetViews>
    <sheetView zoomScale="110" zoomScaleNormal="110" workbookViewId="0">
      <pane ySplit="1" topLeftCell="A19" activePane="bottomLeft" state="frozen"/>
      <selection pane="bottomLeft" activeCell="C23" sqref="C23"/>
    </sheetView>
  </sheetViews>
  <sheetFormatPr defaultRowHeight="14.4"/>
  <cols>
    <col min="1" max="1" width="7.77734375" style="1" customWidth="1"/>
    <col min="2" max="2" width="41.6640625" style="2" bestFit="1" customWidth="1"/>
    <col min="3" max="3" width="53" style="2" bestFit="1" customWidth="1"/>
  </cols>
  <sheetData>
    <row r="1" spans="1:12" ht="21">
      <c r="A1" s="4" t="s">
        <v>49</v>
      </c>
      <c r="B1" s="5" t="s">
        <v>50</v>
      </c>
      <c r="C1" s="5" t="s">
        <v>51</v>
      </c>
      <c r="D1" s="5"/>
      <c r="E1" s="5"/>
      <c r="F1" s="5"/>
      <c r="G1" s="5"/>
      <c r="H1" s="5"/>
      <c r="I1" s="5"/>
      <c r="J1" s="5"/>
      <c r="K1" s="5"/>
      <c r="L1" s="6"/>
    </row>
    <row r="2" spans="1:12">
      <c r="A2" s="3">
        <v>1</v>
      </c>
      <c r="B2" s="2" t="s">
        <v>0</v>
      </c>
      <c r="C2" s="2" t="s">
        <v>41</v>
      </c>
    </row>
    <row r="3" spans="1:12">
      <c r="A3" s="3"/>
    </row>
    <row r="4" spans="1:12">
      <c r="A4" s="3"/>
      <c r="B4" s="2" t="s">
        <v>1276</v>
      </c>
    </row>
    <row r="5" spans="1:12">
      <c r="A5" s="3"/>
      <c r="B5" s="2" t="s">
        <v>1278</v>
      </c>
      <c r="C5" s="2" t="s">
        <v>1277</v>
      </c>
    </row>
    <row r="6" spans="1:12">
      <c r="A6" s="3"/>
      <c r="C6" s="2" t="s">
        <v>1279</v>
      </c>
    </row>
    <row r="7" spans="1:12">
      <c r="A7" s="3"/>
    </row>
    <row r="8" spans="1:12" ht="57.6">
      <c r="A8" s="3">
        <v>2</v>
      </c>
      <c r="B8" s="2" t="s">
        <v>1</v>
      </c>
      <c r="C8" s="2" t="s">
        <v>2</v>
      </c>
    </row>
    <row r="9" spans="1:12" ht="28.8">
      <c r="A9" s="3">
        <v>3</v>
      </c>
      <c r="B9" s="2" t="s">
        <v>3</v>
      </c>
      <c r="C9" s="2" t="s">
        <v>44</v>
      </c>
    </row>
    <row r="10" spans="1:12" ht="43.2">
      <c r="A10" s="3">
        <v>4</v>
      </c>
      <c r="B10" s="2" t="s">
        <v>4</v>
      </c>
      <c r="C10" s="2" t="s">
        <v>5</v>
      </c>
    </row>
    <row r="11" spans="1:12" ht="57.6">
      <c r="A11" s="3">
        <v>5</v>
      </c>
      <c r="B11" s="2" t="s">
        <v>6</v>
      </c>
      <c r="C11" s="2" t="s">
        <v>7</v>
      </c>
    </row>
    <row r="12" spans="1:12" ht="43.2">
      <c r="A12" s="3">
        <v>6</v>
      </c>
      <c r="B12" s="2" t="s">
        <v>8</v>
      </c>
      <c r="C12" s="2" t="s">
        <v>9</v>
      </c>
    </row>
    <row r="13" spans="1:12" ht="28.8">
      <c r="A13" s="3">
        <v>7</v>
      </c>
      <c r="B13" s="2" t="s">
        <v>10</v>
      </c>
      <c r="C13" s="2" t="s">
        <v>11</v>
      </c>
    </row>
    <row r="14" spans="1:12" ht="86.4">
      <c r="A14" s="3">
        <v>8</v>
      </c>
      <c r="B14" s="2" t="s">
        <v>12</v>
      </c>
      <c r="C14" s="2" t="s">
        <v>13</v>
      </c>
    </row>
    <row r="15" spans="1:12" ht="57.6">
      <c r="A15" s="3">
        <v>9</v>
      </c>
      <c r="B15" s="2" t="s">
        <v>14</v>
      </c>
      <c r="C15" s="2" t="s">
        <v>15</v>
      </c>
    </row>
    <row r="16" spans="1:12">
      <c r="A16" s="3">
        <v>10</v>
      </c>
      <c r="B16" s="226" t="s">
        <v>56</v>
      </c>
      <c r="C16" s="226"/>
    </row>
    <row r="17" spans="1:3">
      <c r="A17" s="3"/>
      <c r="B17" s="8" t="s">
        <v>57</v>
      </c>
      <c r="C17" s="8" t="s">
        <v>58</v>
      </c>
    </row>
    <row r="18" spans="1:3">
      <c r="A18" s="3"/>
      <c r="B18" s="9" t="s">
        <v>102</v>
      </c>
      <c r="C18" s="9" t="s">
        <v>59</v>
      </c>
    </row>
    <row r="19" spans="1:3" ht="28.8">
      <c r="A19" s="3"/>
      <c r="B19" s="10" t="s">
        <v>60</v>
      </c>
      <c r="C19" s="10" t="s">
        <v>61</v>
      </c>
    </row>
    <row r="20" spans="1:3" ht="72">
      <c r="A20" s="3"/>
      <c r="B20" s="10" t="s">
        <v>63</v>
      </c>
      <c r="C20" s="10" t="s">
        <v>62</v>
      </c>
    </row>
    <row r="21" spans="1:3">
      <c r="A21" s="3"/>
      <c r="B21" s="7"/>
    </row>
    <row r="22" spans="1:3">
      <c r="A22" s="3">
        <v>11</v>
      </c>
      <c r="B22" s="7" t="s">
        <v>64</v>
      </c>
      <c r="C22" s="2" t="s">
        <v>65</v>
      </c>
    </row>
    <row r="23" spans="1:3" ht="72">
      <c r="A23" s="3">
        <v>12</v>
      </c>
      <c r="B23" s="2" t="s">
        <v>66</v>
      </c>
      <c r="C23" s="2" t="s">
        <v>67</v>
      </c>
    </row>
    <row r="24" spans="1:3">
      <c r="A24" s="3"/>
    </row>
    <row r="25" spans="1:3" ht="28.8">
      <c r="A25" s="3"/>
      <c r="B25" s="7" t="s">
        <v>103</v>
      </c>
      <c r="C25" s="2" t="s">
        <v>104</v>
      </c>
    </row>
    <row r="26" spans="1:3" ht="129.6">
      <c r="A26" s="3"/>
      <c r="B26" s="7" t="s">
        <v>105</v>
      </c>
      <c r="C26" s="2" t="s">
        <v>106</v>
      </c>
    </row>
    <row r="27" spans="1:3" ht="15" thickBot="1">
      <c r="A27" s="3"/>
      <c r="B27" s="7" t="s">
        <v>288</v>
      </c>
    </row>
    <row r="28" spans="1:3" ht="15" thickBot="1">
      <c r="A28" s="25" t="s">
        <v>289</v>
      </c>
      <c r="B28" s="26" t="s">
        <v>290</v>
      </c>
      <c r="C28" s="27" t="s">
        <v>291</v>
      </c>
    </row>
    <row r="29" spans="1:3">
      <c r="A29" s="22">
        <v>1</v>
      </c>
      <c r="B29" s="23" t="s">
        <v>292</v>
      </c>
      <c r="C29" s="24" t="s">
        <v>293</v>
      </c>
    </row>
    <row r="30" spans="1:3" ht="28.8">
      <c r="A30" s="21">
        <v>2</v>
      </c>
      <c r="B30" s="10" t="s">
        <v>294</v>
      </c>
      <c r="C30" s="9" t="s">
        <v>295</v>
      </c>
    </row>
    <row r="31" spans="1:3" ht="28.8">
      <c r="A31" s="21">
        <v>3</v>
      </c>
      <c r="B31" s="10" t="s">
        <v>296</v>
      </c>
      <c r="C31" s="9" t="s">
        <v>297</v>
      </c>
    </row>
    <row r="32" spans="1:3" ht="28.8">
      <c r="A32" s="21">
        <v>4</v>
      </c>
      <c r="B32" s="10" t="s">
        <v>304</v>
      </c>
      <c r="C32" s="9" t="s">
        <v>298</v>
      </c>
    </row>
    <row r="33" spans="1:3">
      <c r="A33" s="21">
        <v>5</v>
      </c>
      <c r="B33" s="10" t="s">
        <v>299</v>
      </c>
      <c r="C33" s="9" t="s">
        <v>300</v>
      </c>
    </row>
    <row r="34" spans="1:3">
      <c r="A34" s="21" t="s">
        <v>301</v>
      </c>
      <c r="B34" s="10" t="s">
        <v>302</v>
      </c>
      <c r="C34" s="9" t="s">
        <v>303</v>
      </c>
    </row>
    <row r="35" spans="1:3">
      <c r="A35" s="3"/>
      <c r="B35" s="7"/>
    </row>
    <row r="36" spans="1:3">
      <c r="A36" s="3"/>
      <c r="B36" s="7"/>
    </row>
    <row r="37" spans="1:3">
      <c r="A37" s="3"/>
      <c r="B37" s="226" t="s">
        <v>107</v>
      </c>
      <c r="C37" s="226"/>
    </row>
    <row r="38" spans="1:3" ht="28.8">
      <c r="A38" s="3"/>
      <c r="B38" s="9" t="s">
        <v>108</v>
      </c>
      <c r="C38" s="9" t="s">
        <v>283</v>
      </c>
    </row>
    <row r="39" spans="1:3" ht="28.8">
      <c r="A39" s="3"/>
      <c r="B39" s="9" t="s">
        <v>109</v>
      </c>
      <c r="C39" s="9" t="s">
        <v>282</v>
      </c>
    </row>
    <row r="40" spans="1:3" ht="28.8">
      <c r="A40" s="3"/>
      <c r="B40" s="9" t="s">
        <v>285</v>
      </c>
      <c r="C40" s="9" t="s">
        <v>286</v>
      </c>
    </row>
    <row r="41" spans="1:3">
      <c r="A41" s="3"/>
      <c r="B41" s="10" t="s">
        <v>110</v>
      </c>
      <c r="C41" s="9" t="s">
        <v>284</v>
      </c>
    </row>
    <row r="42" spans="1:3">
      <c r="A42" s="3"/>
      <c r="B42" s="7"/>
    </row>
    <row r="43" spans="1:3" ht="72">
      <c r="A43" s="3"/>
      <c r="B43" s="7" t="s">
        <v>271</v>
      </c>
      <c r="C43" s="2" t="s">
        <v>416</v>
      </c>
    </row>
    <row r="44" spans="1:3" ht="57.6">
      <c r="A44" s="3"/>
      <c r="B44" s="7" t="s">
        <v>280</v>
      </c>
      <c r="C44" s="2" t="s">
        <v>279</v>
      </c>
    </row>
    <row r="45" spans="1:3" ht="43.2">
      <c r="A45" s="3"/>
      <c r="B45" s="7" t="s">
        <v>281</v>
      </c>
      <c r="C45" s="2" t="s">
        <v>287</v>
      </c>
    </row>
    <row r="46" spans="1:3">
      <c r="A46" s="3"/>
      <c r="B46" s="7"/>
    </row>
    <row r="47" spans="1:3">
      <c r="A47" s="3"/>
      <c r="B47" s="2" t="s">
        <v>1257</v>
      </c>
    </row>
    <row r="48" spans="1:3" ht="28.8">
      <c r="A48" s="3"/>
      <c r="B48" s="7"/>
      <c r="C48" s="2" t="s">
        <v>1258</v>
      </c>
    </row>
    <row r="49" spans="1:3" ht="72">
      <c r="A49" s="3"/>
      <c r="B49" s="7" t="s">
        <v>1261</v>
      </c>
      <c r="C49" s="2" t="s">
        <v>1259</v>
      </c>
    </row>
    <row r="50" spans="1:3" ht="158.4">
      <c r="A50" s="3"/>
      <c r="B50" s="7" t="s">
        <v>1260</v>
      </c>
      <c r="C50" s="2" t="s">
        <v>1262</v>
      </c>
    </row>
    <row r="51" spans="1:3">
      <c r="A51" s="3"/>
      <c r="B51" s="7"/>
    </row>
    <row r="52" spans="1:3">
      <c r="A52" s="124" t="s">
        <v>1975</v>
      </c>
    </row>
    <row r="53" spans="1:3">
      <c r="A53" s="3"/>
      <c r="B53" s="7"/>
    </row>
    <row r="54" spans="1:3" ht="57.6">
      <c r="A54" s="3"/>
      <c r="C54" s="127" t="s">
        <v>1976</v>
      </c>
    </row>
    <row r="55" spans="1:3" ht="57.6">
      <c r="A55" s="3"/>
      <c r="C55" s="127" t="s">
        <v>1978</v>
      </c>
    </row>
    <row r="56" spans="1:3" ht="72">
      <c r="A56" s="3"/>
      <c r="C56" s="127" t="s">
        <v>1979</v>
      </c>
    </row>
    <row r="57" spans="1:3" ht="28.8">
      <c r="A57" s="3"/>
      <c r="C57" s="127" t="s">
        <v>1980</v>
      </c>
    </row>
    <row r="58" spans="1:3" ht="43.2">
      <c r="A58" s="3"/>
      <c r="C58" s="127" t="s">
        <v>1981</v>
      </c>
    </row>
    <row r="59" spans="1:3" ht="43.2">
      <c r="A59" s="3"/>
      <c r="C59" s="127" t="s">
        <v>1982</v>
      </c>
    </row>
    <row r="60" spans="1:3">
      <c r="A60" s="3"/>
    </row>
    <row r="61" spans="1:3">
      <c r="A61" s="124" t="s">
        <v>1977</v>
      </c>
    </row>
    <row r="62" spans="1:3" ht="72">
      <c r="A62" s="3"/>
      <c r="B62" s="127" t="s">
        <v>1983</v>
      </c>
    </row>
    <row r="63" spans="1:3" ht="43.2">
      <c r="A63" s="3"/>
      <c r="B63" s="127" t="s">
        <v>1984</v>
      </c>
    </row>
    <row r="64" spans="1:3" ht="57.6">
      <c r="A64" s="3"/>
      <c r="B64" s="127" t="s">
        <v>1985</v>
      </c>
    </row>
    <row r="65" spans="1:2" ht="57.6">
      <c r="A65" s="3"/>
      <c r="B65" s="127" t="s">
        <v>1986</v>
      </c>
    </row>
    <row r="66" spans="1:2" ht="43.2">
      <c r="A66" s="3"/>
      <c r="B66" s="127" t="s">
        <v>1987</v>
      </c>
    </row>
    <row r="67" spans="1:2" ht="57.6">
      <c r="A67" s="3"/>
      <c r="B67" s="127" t="s">
        <v>1988</v>
      </c>
    </row>
    <row r="68" spans="1:2" ht="55.95" customHeight="1">
      <c r="A68" s="3"/>
      <c r="B68" s="127" t="s">
        <v>1989</v>
      </c>
    </row>
    <row r="69" spans="1:2">
      <c r="A69" s="3"/>
    </row>
    <row r="70" spans="1:2">
      <c r="A70" s="3"/>
    </row>
    <row r="71" spans="1:2">
      <c r="A71" s="3"/>
    </row>
    <row r="72" spans="1:2">
      <c r="A72" s="3"/>
    </row>
    <row r="73" spans="1:2">
      <c r="A73" s="3"/>
    </row>
    <row r="74" spans="1:2">
      <c r="A74" s="3"/>
    </row>
  </sheetData>
  <mergeCells count="2">
    <mergeCell ref="B16:C16"/>
    <mergeCell ref="B37:C3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6"/>
  <sheetViews>
    <sheetView workbookViewId="0">
      <pane ySplit="2" topLeftCell="A12" activePane="bottomLeft" state="frozen"/>
      <selection pane="bottomLeft" activeCell="C22" sqref="C22"/>
    </sheetView>
  </sheetViews>
  <sheetFormatPr defaultRowHeight="14.4"/>
  <cols>
    <col min="1" max="1" width="9.109375" bestFit="1" customWidth="1"/>
    <col min="2" max="2" width="39.5546875" bestFit="1" customWidth="1"/>
    <col min="3" max="3" width="58.6640625" customWidth="1"/>
    <col min="4" max="5" width="52.21875" customWidth="1"/>
  </cols>
  <sheetData>
    <row r="1" spans="1:12" ht="21">
      <c r="A1" s="4" t="s">
        <v>49</v>
      </c>
      <c r="B1" s="5" t="s">
        <v>50</v>
      </c>
      <c r="C1" s="5" t="s">
        <v>51</v>
      </c>
      <c r="D1" s="5"/>
      <c r="E1" s="5"/>
      <c r="F1" s="5"/>
      <c r="G1" s="5"/>
      <c r="H1" s="5"/>
      <c r="I1" s="5"/>
      <c r="J1" s="5"/>
      <c r="K1" s="5"/>
      <c r="L1" s="6"/>
    </row>
    <row r="2" spans="1:12" ht="21">
      <c r="A2" s="30"/>
      <c r="B2" s="30"/>
      <c r="C2" s="31" t="s">
        <v>423</v>
      </c>
      <c r="D2" s="31" t="s">
        <v>425</v>
      </c>
      <c r="E2" s="30" t="s">
        <v>2185</v>
      </c>
      <c r="F2" s="30"/>
      <c r="G2" s="30"/>
      <c r="H2" s="30"/>
      <c r="I2" s="30"/>
      <c r="J2" s="30"/>
      <c r="K2" s="30"/>
      <c r="L2" s="30"/>
    </row>
    <row r="3" spans="1:12">
      <c r="A3">
        <v>1</v>
      </c>
      <c r="B3" s="32" t="s">
        <v>1093</v>
      </c>
      <c r="C3" s="32"/>
      <c r="D3" s="32" t="s">
        <v>1094</v>
      </c>
      <c r="E3" s="32"/>
      <c r="F3" s="32"/>
      <c r="G3" s="32"/>
      <c r="H3" s="32"/>
    </row>
    <row r="4" spans="1:12" ht="28.8">
      <c r="B4" s="32"/>
      <c r="C4" s="32"/>
      <c r="D4" s="32" t="s">
        <v>1095</v>
      </c>
      <c r="E4" s="32"/>
      <c r="F4" s="32"/>
      <c r="G4" s="32"/>
      <c r="H4" s="32"/>
    </row>
    <row r="5" spans="1:12" ht="28.8">
      <c r="B5" s="32"/>
      <c r="C5" s="32" t="s">
        <v>1098</v>
      </c>
      <c r="D5" s="32" t="s">
        <v>1099</v>
      </c>
      <c r="E5" s="32" t="s">
        <v>2186</v>
      </c>
      <c r="F5" s="32"/>
      <c r="G5" s="32"/>
      <c r="H5" s="32"/>
    </row>
    <row r="6" spans="1:12" ht="28.8">
      <c r="C6" s="32" t="s">
        <v>1097</v>
      </c>
      <c r="D6" s="32" t="s">
        <v>1096</v>
      </c>
      <c r="E6" s="32" t="s">
        <v>2187</v>
      </c>
    </row>
    <row r="7" spans="1:12">
      <c r="D7" s="32" t="s">
        <v>1100</v>
      </c>
    </row>
    <row r="8" spans="1:12" ht="28.8">
      <c r="D8" s="32" t="s">
        <v>1101</v>
      </c>
    </row>
    <row r="10" spans="1:12">
      <c r="A10">
        <v>2</v>
      </c>
      <c r="B10" t="s">
        <v>3</v>
      </c>
      <c r="C10" t="s">
        <v>2188</v>
      </c>
      <c r="D10" s="32" t="s">
        <v>2195</v>
      </c>
      <c r="E10" t="s">
        <v>2188</v>
      </c>
    </row>
    <row r="11" spans="1:12">
      <c r="C11" t="s">
        <v>2189</v>
      </c>
      <c r="E11" t="s">
        <v>2189</v>
      </c>
    </row>
    <row r="12" spans="1:12">
      <c r="C12" t="s">
        <v>2190</v>
      </c>
      <c r="E12" t="s">
        <v>2190</v>
      </c>
    </row>
    <row r="13" spans="1:12">
      <c r="C13" t="s">
        <v>2191</v>
      </c>
      <c r="E13" t="s">
        <v>2191</v>
      </c>
    </row>
    <row r="14" spans="1:12">
      <c r="C14" t="s">
        <v>2192</v>
      </c>
      <c r="E14" t="s">
        <v>2192</v>
      </c>
    </row>
    <row r="15" spans="1:12">
      <c r="C15" t="s">
        <v>2193</v>
      </c>
      <c r="E15" t="s">
        <v>2193</v>
      </c>
    </row>
    <row r="16" spans="1:12">
      <c r="C16" t="s">
        <v>2194</v>
      </c>
      <c r="E16" t="s">
        <v>2194</v>
      </c>
    </row>
    <row r="17" spans="1:5">
      <c r="C17" t="s">
        <v>691</v>
      </c>
      <c r="E17" t="s">
        <v>691</v>
      </c>
    </row>
    <row r="19" spans="1:5">
      <c r="A19">
        <v>3</v>
      </c>
      <c r="B19" t="s">
        <v>2196</v>
      </c>
    </row>
    <row r="21" spans="1:5">
      <c r="A21">
        <v>4</v>
      </c>
      <c r="B21" t="s">
        <v>689</v>
      </c>
      <c r="C21" t="s">
        <v>2197</v>
      </c>
    </row>
    <row r="34" spans="1:8">
      <c r="A34" s="3">
        <v>1</v>
      </c>
      <c r="B34" s="32" t="s">
        <v>424</v>
      </c>
      <c r="C34" s="32" t="s">
        <v>426</v>
      </c>
      <c r="D34" s="32" t="s">
        <v>427</v>
      </c>
      <c r="E34" s="32"/>
      <c r="F34" s="32"/>
      <c r="G34" s="32"/>
      <c r="H34" s="32"/>
    </row>
    <row r="35" spans="1:8">
      <c r="A35">
        <v>2</v>
      </c>
      <c r="B35" s="32" t="s">
        <v>428</v>
      </c>
      <c r="C35" s="32" t="s">
        <v>429</v>
      </c>
      <c r="D35" s="32" t="s">
        <v>430</v>
      </c>
      <c r="E35" s="32"/>
      <c r="F35" s="32"/>
      <c r="G35" s="32"/>
      <c r="H35" s="32"/>
    </row>
    <row r="36" spans="1:8">
      <c r="A36">
        <v>3</v>
      </c>
      <c r="B36" s="32" t="s">
        <v>431</v>
      </c>
      <c r="C36" s="32" t="s">
        <v>432</v>
      </c>
      <c r="D36" s="32" t="s">
        <v>433</v>
      </c>
      <c r="E36" s="32"/>
      <c r="F36" s="32"/>
      <c r="G36" s="32"/>
      <c r="H36" s="32"/>
    </row>
    <row r="37" spans="1:8" ht="43.2">
      <c r="A37">
        <v>4</v>
      </c>
      <c r="B37" s="32" t="s">
        <v>434</v>
      </c>
      <c r="C37" s="32" t="s">
        <v>435</v>
      </c>
      <c r="D37" s="32" t="s">
        <v>436</v>
      </c>
      <c r="E37" s="32"/>
      <c r="F37" s="32"/>
      <c r="G37" s="32"/>
      <c r="H37" s="32"/>
    </row>
    <row r="38" spans="1:8">
      <c r="A38">
        <v>5</v>
      </c>
      <c r="B38" s="32" t="s">
        <v>437</v>
      </c>
      <c r="C38" s="32"/>
      <c r="D38" s="32" t="s">
        <v>438</v>
      </c>
      <c r="E38" s="32"/>
      <c r="F38" s="32"/>
      <c r="G38" s="32"/>
      <c r="H38" s="32"/>
    </row>
    <row r="39" spans="1:8">
      <c r="A39">
        <v>6</v>
      </c>
      <c r="B39" s="32" t="s">
        <v>439</v>
      </c>
      <c r="C39" s="32" t="s">
        <v>440</v>
      </c>
      <c r="D39" s="32" t="s">
        <v>441</v>
      </c>
      <c r="E39" s="32"/>
      <c r="F39" s="32"/>
      <c r="G39" s="32"/>
      <c r="H39" s="32"/>
    </row>
    <row r="40" spans="1:8">
      <c r="A40">
        <v>7</v>
      </c>
      <c r="B40" s="32" t="s">
        <v>442</v>
      </c>
      <c r="C40" s="32" t="s">
        <v>443</v>
      </c>
      <c r="D40" s="32" t="s">
        <v>444</v>
      </c>
      <c r="E40" s="32"/>
      <c r="F40" s="32"/>
      <c r="G40" s="32"/>
      <c r="H40" s="32"/>
    </row>
    <row r="41" spans="1:8">
      <c r="A41">
        <v>8</v>
      </c>
      <c r="B41" s="227" t="s">
        <v>445</v>
      </c>
      <c r="C41" s="227"/>
      <c r="D41" s="227"/>
      <c r="E41" s="32"/>
      <c r="F41" s="32"/>
      <c r="G41" s="32"/>
      <c r="H41" s="32"/>
    </row>
    <row r="42" spans="1:8">
      <c r="B42" s="32" t="s">
        <v>446</v>
      </c>
      <c r="C42" s="33" t="s">
        <v>447</v>
      </c>
      <c r="D42" s="33" t="s">
        <v>447</v>
      </c>
      <c r="E42" s="32"/>
      <c r="F42" s="32"/>
      <c r="G42" s="32"/>
      <c r="H42" s="32"/>
    </row>
    <row r="43" spans="1:8">
      <c r="B43" s="32" t="s">
        <v>448</v>
      </c>
      <c r="C43" s="33" t="s">
        <v>449</v>
      </c>
      <c r="D43" s="33" t="s">
        <v>449</v>
      </c>
      <c r="E43" s="32"/>
      <c r="F43" s="32"/>
      <c r="G43" s="32"/>
      <c r="H43" s="32"/>
    </row>
    <row r="44" spans="1:8">
      <c r="B44" s="32" t="s">
        <v>451</v>
      </c>
      <c r="C44" s="33" t="s">
        <v>450</v>
      </c>
      <c r="D44" s="33" t="s">
        <v>450</v>
      </c>
      <c r="E44" s="32"/>
      <c r="F44" s="32"/>
      <c r="G44" s="32"/>
      <c r="H44" s="32"/>
    </row>
    <row r="45" spans="1:8">
      <c r="B45" s="32" t="s">
        <v>452</v>
      </c>
      <c r="C45" s="33" t="s">
        <v>453</v>
      </c>
      <c r="D45" s="33" t="s">
        <v>453</v>
      </c>
      <c r="E45" s="32"/>
      <c r="F45" s="32"/>
      <c r="G45" s="32"/>
      <c r="H45" s="32"/>
    </row>
    <row r="46" spans="1:8">
      <c r="B46" s="32" t="s">
        <v>454</v>
      </c>
      <c r="C46" s="32"/>
      <c r="D46" s="33" t="s">
        <v>455</v>
      </c>
      <c r="E46" s="32"/>
      <c r="F46" s="32"/>
      <c r="G46" s="32"/>
      <c r="H46" s="32"/>
    </row>
    <row r="47" spans="1:8">
      <c r="B47" s="32"/>
      <c r="C47" s="32"/>
      <c r="D47" s="32"/>
      <c r="E47" s="32"/>
      <c r="F47" s="32"/>
      <c r="G47" s="32"/>
      <c r="H47" s="32"/>
    </row>
    <row r="48" spans="1:8">
      <c r="A48">
        <v>9</v>
      </c>
      <c r="B48" s="32" t="s">
        <v>456</v>
      </c>
      <c r="C48" s="32"/>
      <c r="D48" s="32" t="s">
        <v>457</v>
      </c>
      <c r="E48" s="32"/>
      <c r="F48" s="32"/>
      <c r="G48" s="32"/>
      <c r="H48" s="32"/>
    </row>
    <row r="49" spans="1:8" ht="28.8">
      <c r="A49">
        <v>10</v>
      </c>
      <c r="B49" s="32" t="s">
        <v>458</v>
      </c>
      <c r="C49" s="32"/>
      <c r="D49" s="32" t="s">
        <v>459</v>
      </c>
      <c r="E49" s="32"/>
      <c r="F49" s="32"/>
      <c r="G49" s="32"/>
      <c r="H49" s="32"/>
    </row>
    <row r="50" spans="1:8" ht="28.8">
      <c r="A50">
        <v>11</v>
      </c>
      <c r="B50" s="32" t="s">
        <v>460</v>
      </c>
      <c r="C50" s="32" t="s">
        <v>461</v>
      </c>
      <c r="D50" s="33" t="s">
        <v>462</v>
      </c>
      <c r="E50" s="32"/>
      <c r="F50" s="32"/>
      <c r="G50" s="32"/>
      <c r="H50" s="32"/>
    </row>
    <row r="51" spans="1:8" ht="28.8">
      <c r="A51">
        <v>12</v>
      </c>
      <c r="B51" s="32" t="s">
        <v>463</v>
      </c>
      <c r="C51" s="32" t="s">
        <v>464</v>
      </c>
      <c r="D51" s="32" t="s">
        <v>465</v>
      </c>
      <c r="E51" s="32"/>
      <c r="F51" s="32"/>
      <c r="G51" s="32"/>
      <c r="H51" s="32"/>
    </row>
    <row r="52" spans="1:8" ht="43.2">
      <c r="A52">
        <v>13</v>
      </c>
      <c r="B52" s="32" t="s">
        <v>466</v>
      </c>
      <c r="C52" s="32" t="s">
        <v>467</v>
      </c>
      <c r="D52" s="32" t="s">
        <v>468</v>
      </c>
      <c r="E52" s="32"/>
      <c r="F52" s="32"/>
      <c r="G52" s="32"/>
      <c r="H52" s="32"/>
    </row>
    <row r="53" spans="1:8">
      <c r="B53" s="32"/>
      <c r="C53" s="32" t="s">
        <v>469</v>
      </c>
      <c r="D53" s="32" t="s">
        <v>470</v>
      </c>
      <c r="E53" s="32"/>
      <c r="F53" s="32"/>
      <c r="G53" s="32"/>
      <c r="H53" s="32"/>
    </row>
    <row r="54" spans="1:8">
      <c r="B54" s="32"/>
      <c r="C54" s="32"/>
      <c r="D54" s="32"/>
      <c r="E54" s="32"/>
      <c r="F54" s="32"/>
      <c r="G54" s="32"/>
      <c r="H54" s="32"/>
    </row>
    <row r="55" spans="1:8" ht="86.4">
      <c r="B55" s="32" t="s">
        <v>475</v>
      </c>
      <c r="C55" s="32" t="s">
        <v>476</v>
      </c>
      <c r="D55" s="32" t="s">
        <v>477</v>
      </c>
      <c r="E55" s="32"/>
      <c r="F55" s="32"/>
      <c r="G55" s="32"/>
      <c r="H55" s="32"/>
    </row>
    <row r="56" spans="1:8" ht="28.8">
      <c r="B56" s="32" t="s">
        <v>482</v>
      </c>
      <c r="C56" s="32" t="s">
        <v>483</v>
      </c>
      <c r="D56" s="32" t="s">
        <v>484</v>
      </c>
      <c r="E56" s="32"/>
      <c r="F56" s="32"/>
      <c r="G56" s="32"/>
      <c r="H56" s="32"/>
    </row>
    <row r="57" spans="1:8">
      <c r="B57" s="32"/>
      <c r="C57" s="32"/>
      <c r="D57" s="32"/>
      <c r="E57" s="32"/>
      <c r="F57" s="32"/>
      <c r="G57" s="32"/>
      <c r="H57" s="32"/>
    </row>
    <row r="58" spans="1:8">
      <c r="B58" s="32"/>
      <c r="C58" s="32"/>
      <c r="D58" s="32"/>
      <c r="E58" s="32"/>
      <c r="F58" s="32"/>
      <c r="G58" s="32"/>
      <c r="H58" s="32"/>
    </row>
    <row r="59" spans="1:8">
      <c r="B59" s="32"/>
      <c r="C59" s="32"/>
      <c r="D59" s="32"/>
      <c r="E59" s="32"/>
      <c r="F59" s="32"/>
      <c r="G59" s="32"/>
      <c r="H59" s="32"/>
    </row>
    <row r="60" spans="1:8">
      <c r="B60" s="32"/>
      <c r="C60" s="32"/>
      <c r="D60" s="32"/>
      <c r="E60" s="32"/>
      <c r="F60" s="32"/>
      <c r="G60" s="32"/>
      <c r="H60" s="32"/>
    </row>
    <row r="61" spans="1:8">
      <c r="B61" s="32"/>
      <c r="C61" s="32"/>
      <c r="D61" s="32"/>
      <c r="E61" s="32"/>
      <c r="F61" s="32"/>
      <c r="G61" s="32"/>
      <c r="H61" s="32"/>
    </row>
    <row r="62" spans="1:8">
      <c r="B62" s="32"/>
      <c r="C62" s="32"/>
      <c r="D62" s="32"/>
      <c r="E62" s="32"/>
      <c r="F62" s="32"/>
      <c r="G62" s="32"/>
      <c r="H62" s="32"/>
    </row>
    <row r="63" spans="1:8">
      <c r="B63" s="32"/>
      <c r="C63" s="32"/>
      <c r="D63" s="32"/>
      <c r="E63" s="32"/>
      <c r="F63" s="32"/>
      <c r="G63" s="32"/>
      <c r="H63" s="32"/>
    </row>
    <row r="64" spans="1:8">
      <c r="B64" s="32"/>
      <c r="C64" s="32"/>
      <c r="D64" s="32"/>
      <c r="E64" s="32"/>
      <c r="F64" s="32"/>
      <c r="G64" s="32"/>
      <c r="H64" s="32"/>
    </row>
    <row r="65" spans="2:8">
      <c r="B65" s="32"/>
      <c r="C65" s="32"/>
      <c r="D65" s="32"/>
      <c r="E65" s="32"/>
      <c r="F65" s="32"/>
      <c r="G65" s="32"/>
      <c r="H65" s="32"/>
    </row>
    <row r="66" spans="2:8">
      <c r="B66" s="32"/>
      <c r="C66" s="32"/>
      <c r="D66" s="32"/>
      <c r="E66" s="32"/>
      <c r="F66" s="32"/>
      <c r="G66" s="32"/>
      <c r="H66" s="32"/>
    </row>
    <row r="67" spans="2:8">
      <c r="B67" s="32"/>
      <c r="C67" s="32"/>
      <c r="D67" s="32"/>
      <c r="E67" s="32"/>
      <c r="F67" s="32"/>
      <c r="G67" s="32"/>
      <c r="H67" s="32"/>
    </row>
    <row r="68" spans="2:8">
      <c r="B68" s="32"/>
      <c r="C68" s="32"/>
      <c r="D68" s="32"/>
      <c r="E68" s="32"/>
      <c r="F68" s="32"/>
      <c r="G68" s="32"/>
      <c r="H68" s="32"/>
    </row>
    <row r="69" spans="2:8">
      <c r="B69" s="32"/>
      <c r="C69" s="32"/>
      <c r="D69" s="32"/>
      <c r="E69" s="32"/>
      <c r="F69" s="32"/>
      <c r="G69" s="32"/>
      <c r="H69" s="32"/>
    </row>
    <row r="70" spans="2:8">
      <c r="B70" s="32"/>
      <c r="C70" s="32"/>
      <c r="D70" s="32"/>
      <c r="E70" s="32"/>
      <c r="F70" s="32"/>
      <c r="G70" s="32"/>
      <c r="H70" s="32"/>
    </row>
    <row r="71" spans="2:8">
      <c r="B71" s="32"/>
      <c r="C71" s="32"/>
      <c r="D71" s="32"/>
      <c r="E71" s="32"/>
      <c r="F71" s="32"/>
      <c r="G71" s="32"/>
      <c r="H71" s="32"/>
    </row>
    <row r="72" spans="2:8">
      <c r="B72" s="32"/>
      <c r="C72" s="32"/>
      <c r="D72" s="32"/>
      <c r="E72" s="32"/>
      <c r="F72" s="32"/>
      <c r="G72" s="32"/>
      <c r="H72" s="32"/>
    </row>
    <row r="73" spans="2:8">
      <c r="B73" s="32"/>
      <c r="C73" s="32"/>
      <c r="D73" s="32"/>
      <c r="E73" s="32"/>
      <c r="F73" s="32"/>
      <c r="G73" s="32"/>
      <c r="H73" s="32"/>
    </row>
    <row r="74" spans="2:8">
      <c r="B74" s="32"/>
      <c r="C74" s="32"/>
      <c r="D74" s="32"/>
      <c r="E74" s="32"/>
      <c r="F74" s="32"/>
      <c r="G74" s="32"/>
      <c r="H74" s="32"/>
    </row>
    <row r="75" spans="2:8">
      <c r="B75" s="32"/>
      <c r="C75" s="32"/>
      <c r="D75" s="32"/>
      <c r="E75" s="32"/>
      <c r="F75" s="32"/>
      <c r="G75" s="32"/>
      <c r="H75" s="32"/>
    </row>
    <row r="76" spans="2:8">
      <c r="B76" s="32"/>
      <c r="C76" s="32"/>
      <c r="D76" s="32"/>
      <c r="E76" s="32"/>
      <c r="F76" s="32"/>
      <c r="G76" s="32"/>
      <c r="H76" s="32"/>
    </row>
  </sheetData>
  <mergeCells count="1">
    <mergeCell ref="B41:D4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9"/>
  <sheetViews>
    <sheetView workbookViewId="0">
      <selection sqref="A1:XFD1"/>
    </sheetView>
  </sheetViews>
  <sheetFormatPr defaultRowHeight="14.4"/>
  <cols>
    <col min="1" max="1" width="7.77734375" style="1" customWidth="1"/>
    <col min="2" max="2" width="41.6640625" style="2" bestFit="1" customWidth="1"/>
    <col min="3" max="3" width="75.33203125" style="2" bestFit="1" customWidth="1"/>
  </cols>
  <sheetData>
    <row r="1" spans="1:12" ht="21">
      <c r="A1" s="4" t="s">
        <v>49</v>
      </c>
      <c r="B1" s="5" t="s">
        <v>50</v>
      </c>
      <c r="C1" s="5" t="s">
        <v>51</v>
      </c>
      <c r="D1" s="5"/>
      <c r="E1" s="5"/>
      <c r="F1" s="5"/>
      <c r="G1" s="5"/>
      <c r="H1" s="5"/>
      <c r="I1" s="5"/>
      <c r="J1" s="5"/>
      <c r="K1" s="5"/>
      <c r="L1" s="6"/>
    </row>
    <row r="2" spans="1:12">
      <c r="A2" s="3"/>
      <c r="B2" s="2" t="s">
        <v>311</v>
      </c>
      <c r="C2" s="2" t="s">
        <v>312</v>
      </c>
    </row>
    <row r="3" spans="1:12">
      <c r="A3" s="3"/>
      <c r="C3" s="2" t="s">
        <v>313</v>
      </c>
    </row>
    <row r="4" spans="1:12">
      <c r="A4" s="3"/>
    </row>
    <row r="5" spans="1:12">
      <c r="A5" s="3"/>
    </row>
    <row r="6" spans="1:12">
      <c r="A6" s="3"/>
    </row>
    <row r="7" spans="1:12" ht="28.8">
      <c r="A7" s="3"/>
      <c r="B7" s="2" t="s">
        <v>1183</v>
      </c>
      <c r="C7" s="2" t="s">
        <v>1184</v>
      </c>
    </row>
    <row r="8" spans="1:12" ht="28.8">
      <c r="A8" s="3"/>
      <c r="C8" s="2" t="s">
        <v>1185</v>
      </c>
    </row>
    <row r="9" spans="1:12">
      <c r="A9" s="3"/>
    </row>
    <row r="10" spans="1:12">
      <c r="A10" s="3"/>
    </row>
    <row r="11" spans="1:12">
      <c r="A11" s="3"/>
    </row>
    <row r="12" spans="1:12">
      <c r="A12" s="3"/>
    </row>
    <row r="13" spans="1:12">
      <c r="A13" s="3"/>
    </row>
    <row r="14" spans="1:12" ht="45" customHeight="1">
      <c r="A14" s="3"/>
      <c r="B14" s="228"/>
    </row>
    <row r="15" spans="1:12">
      <c r="A15" s="3"/>
      <c r="B15" s="228"/>
    </row>
    <row r="16" spans="1:12">
      <c r="A16" s="3"/>
      <c r="B16" s="228"/>
    </row>
    <row r="17" spans="1:2">
      <c r="A17" s="3"/>
      <c r="B17" s="228"/>
    </row>
    <row r="18" spans="1:2">
      <c r="A18" s="3"/>
    </row>
    <row r="19" spans="1:2">
      <c r="A19" s="3"/>
    </row>
    <row r="20" spans="1:2">
      <c r="A20" s="3"/>
      <c r="B20" s="228"/>
    </row>
    <row r="21" spans="1:2">
      <c r="A21" s="3"/>
      <c r="B21" s="228"/>
    </row>
    <row r="22" spans="1:2">
      <c r="A22" s="3"/>
      <c r="B22" s="228"/>
    </row>
    <row r="23" spans="1:2">
      <c r="A23" s="3"/>
      <c r="B23" s="228"/>
    </row>
    <row r="24" spans="1:2">
      <c r="A24" s="3"/>
    </row>
    <row r="25" spans="1:2">
      <c r="A25" s="3"/>
    </row>
    <row r="26" spans="1:2">
      <c r="A26" s="3"/>
    </row>
    <row r="27" spans="1:2" ht="33.75" customHeight="1">
      <c r="A27" s="3"/>
      <c r="B27" s="228"/>
    </row>
    <row r="28" spans="1:2">
      <c r="A28" s="3"/>
      <c r="B28" s="228"/>
    </row>
    <row r="29" spans="1:2">
      <c r="A29" s="3"/>
      <c r="B29" s="228"/>
    </row>
    <row r="30" spans="1:2">
      <c r="A30" s="3"/>
      <c r="B30" s="228"/>
    </row>
    <row r="31" spans="1:2">
      <c r="A31" s="3"/>
      <c r="B31" s="228"/>
    </row>
    <row r="32" spans="1:2">
      <c r="A32" s="3"/>
      <c r="B32" s="228"/>
    </row>
    <row r="33" spans="1:2">
      <c r="A33" s="3"/>
      <c r="B33" s="228"/>
    </row>
    <row r="34" spans="1:2">
      <c r="A34" s="3"/>
      <c r="B34" s="228"/>
    </row>
    <row r="35" spans="1:2">
      <c r="A35" s="3"/>
      <c r="B35" s="228"/>
    </row>
    <row r="36" spans="1:2">
      <c r="A36" s="3"/>
      <c r="B36" s="228"/>
    </row>
    <row r="37" spans="1:2">
      <c r="A37" s="3"/>
      <c r="B37" s="228"/>
    </row>
    <row r="38" spans="1:2">
      <c r="A38" s="3"/>
      <c r="B38" s="228"/>
    </row>
    <row r="39" spans="1:2">
      <c r="A39" s="3"/>
      <c r="B39" s="228"/>
    </row>
    <row r="40" spans="1:2">
      <c r="A40" s="3"/>
      <c r="B40" s="228"/>
    </row>
    <row r="41" spans="1:2">
      <c r="A41" s="3"/>
      <c r="B41" s="228"/>
    </row>
    <row r="42" spans="1:2">
      <c r="A42" s="3"/>
    </row>
    <row r="43" spans="1:2">
      <c r="A43" s="3"/>
    </row>
    <row r="44" spans="1:2">
      <c r="A44" s="3"/>
    </row>
    <row r="45" spans="1:2">
      <c r="A45" s="3"/>
    </row>
    <row r="46" spans="1:2">
      <c r="A46" s="3"/>
    </row>
    <row r="47" spans="1:2">
      <c r="A47" s="3"/>
    </row>
    <row r="48" spans="1:2">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sheetData>
  <mergeCells count="8">
    <mergeCell ref="B33:B38"/>
    <mergeCell ref="B39:B41"/>
    <mergeCell ref="B14:B15"/>
    <mergeCell ref="B16:B17"/>
    <mergeCell ref="B20:B23"/>
    <mergeCell ref="B27:B28"/>
    <mergeCell ref="B29:B30"/>
    <mergeCell ref="B31:B3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1"/>
  <sheetViews>
    <sheetView zoomScale="120" zoomScaleNormal="120" workbookViewId="0">
      <selection activeCell="C10" sqref="C10"/>
    </sheetView>
  </sheetViews>
  <sheetFormatPr defaultRowHeight="14.4"/>
  <cols>
    <col min="1" max="1" width="7.77734375" style="1" customWidth="1"/>
    <col min="2" max="2" width="41.6640625" style="2" bestFit="1" customWidth="1"/>
    <col min="3" max="3" width="72.109375" style="2" bestFit="1" customWidth="1"/>
  </cols>
  <sheetData>
    <row r="1" spans="1:12" ht="21">
      <c r="A1" s="4" t="s">
        <v>49</v>
      </c>
      <c r="B1" s="5" t="s">
        <v>50</v>
      </c>
      <c r="C1" s="5" t="s">
        <v>51</v>
      </c>
      <c r="D1" s="5"/>
      <c r="E1" s="5"/>
      <c r="F1" s="5"/>
      <c r="G1" s="5"/>
      <c r="H1" s="5"/>
      <c r="I1" s="5"/>
      <c r="J1" s="5"/>
      <c r="K1" s="5"/>
      <c r="L1" s="6"/>
    </row>
    <row r="2" spans="1:12" ht="28.8">
      <c r="A2" s="3">
        <v>1</v>
      </c>
      <c r="B2" s="2" t="s">
        <v>52</v>
      </c>
      <c r="C2" s="2" t="s">
        <v>53</v>
      </c>
    </row>
    <row r="3" spans="1:12" ht="28.8">
      <c r="A3" s="3">
        <v>2</v>
      </c>
      <c r="B3" s="2" t="s">
        <v>54</v>
      </c>
      <c r="C3" s="2" t="s">
        <v>55</v>
      </c>
    </row>
    <row r="4" spans="1:12" ht="28.8">
      <c r="A4" s="3">
        <v>3</v>
      </c>
      <c r="B4" s="2" t="s">
        <v>68</v>
      </c>
      <c r="C4" s="2" t="s">
        <v>77</v>
      </c>
    </row>
    <row r="5" spans="1:12" ht="15" thickBot="1">
      <c r="A5" s="3"/>
    </row>
    <row r="6" spans="1:12">
      <c r="A6" s="3">
        <v>4</v>
      </c>
      <c r="B6" s="245" t="s">
        <v>69</v>
      </c>
      <c r="C6" s="246"/>
    </row>
    <row r="7" spans="1:12" ht="28.8">
      <c r="A7" s="3"/>
      <c r="B7" s="12" t="s">
        <v>390</v>
      </c>
      <c r="C7" s="13" t="s">
        <v>391</v>
      </c>
    </row>
    <row r="8" spans="1:12">
      <c r="A8" s="3"/>
      <c r="B8" s="12" t="s">
        <v>95</v>
      </c>
      <c r="C8" s="13" t="s">
        <v>70</v>
      </c>
    </row>
    <row r="9" spans="1:12">
      <c r="A9" s="3"/>
      <c r="B9" s="12" t="s">
        <v>96</v>
      </c>
      <c r="C9" s="13" t="s">
        <v>71</v>
      </c>
    </row>
    <row r="10" spans="1:12">
      <c r="A10" s="3"/>
      <c r="B10" s="12" t="s">
        <v>97</v>
      </c>
      <c r="C10" s="13" t="s">
        <v>72</v>
      </c>
    </row>
    <row r="11" spans="1:12">
      <c r="A11" s="3"/>
      <c r="B11" s="12" t="s">
        <v>98</v>
      </c>
      <c r="C11" s="13" t="s">
        <v>73</v>
      </c>
    </row>
    <row r="12" spans="1:12">
      <c r="A12" s="3"/>
      <c r="B12" s="12" t="s">
        <v>99</v>
      </c>
      <c r="C12" s="13" t="s">
        <v>74</v>
      </c>
    </row>
    <row r="13" spans="1:12">
      <c r="A13" s="3"/>
      <c r="B13" s="16" t="s">
        <v>100</v>
      </c>
      <c r="C13" s="17" t="s">
        <v>75</v>
      </c>
    </row>
    <row r="14" spans="1:12" ht="29.4" thickBot="1">
      <c r="A14" s="3"/>
      <c r="B14" s="14" t="s">
        <v>101</v>
      </c>
      <c r="C14" s="15" t="s">
        <v>76</v>
      </c>
    </row>
    <row r="15" spans="1:12" ht="15" thickBot="1">
      <c r="A15" s="3"/>
      <c r="B15" s="11"/>
    </row>
    <row r="16" spans="1:12">
      <c r="A16" s="3">
        <v>5</v>
      </c>
      <c r="B16" s="247" t="s">
        <v>78</v>
      </c>
      <c r="C16" s="248"/>
    </row>
    <row r="17" spans="1:4" ht="28.8">
      <c r="A17" s="3"/>
      <c r="B17" s="12" t="s">
        <v>88</v>
      </c>
      <c r="C17" s="13" t="s">
        <v>79</v>
      </c>
    </row>
    <row r="18" spans="1:4" ht="28.8">
      <c r="A18" s="3"/>
      <c r="B18" s="12" t="s">
        <v>89</v>
      </c>
      <c r="C18" s="13" t="s">
        <v>80</v>
      </c>
    </row>
    <row r="19" spans="1:4">
      <c r="A19" s="3"/>
      <c r="B19" s="12" t="s">
        <v>90</v>
      </c>
      <c r="C19" s="13" t="s">
        <v>81</v>
      </c>
    </row>
    <row r="20" spans="1:4">
      <c r="A20" s="3"/>
      <c r="B20" s="12" t="s">
        <v>91</v>
      </c>
      <c r="C20" s="13" t="s">
        <v>82</v>
      </c>
    </row>
    <row r="21" spans="1:4">
      <c r="A21" s="3"/>
      <c r="B21" s="12" t="s">
        <v>92</v>
      </c>
      <c r="C21" s="13" t="s">
        <v>83</v>
      </c>
    </row>
    <row r="22" spans="1:4" ht="28.8">
      <c r="A22" s="3"/>
      <c r="B22" s="12" t="s">
        <v>93</v>
      </c>
      <c r="C22" s="13" t="s">
        <v>84</v>
      </c>
    </row>
    <row r="23" spans="1:4">
      <c r="A23" s="3"/>
      <c r="B23" s="12" t="s">
        <v>94</v>
      </c>
      <c r="C23" s="13" t="s">
        <v>85</v>
      </c>
    </row>
    <row r="24" spans="1:4" ht="29.4" thickBot="1">
      <c r="A24" s="3"/>
      <c r="B24" s="14" t="s">
        <v>87</v>
      </c>
      <c r="C24" s="15" t="s">
        <v>86</v>
      </c>
    </row>
    <row r="25" spans="1:4">
      <c r="A25" s="3"/>
      <c r="B25" s="7"/>
    </row>
    <row r="26" spans="1:4">
      <c r="A26" s="3">
        <v>6</v>
      </c>
      <c r="D26">
        <v>1849000</v>
      </c>
    </row>
    <row r="27" spans="1:4">
      <c r="A27" s="3">
        <v>7</v>
      </c>
      <c r="B27" s="2" t="s">
        <v>392</v>
      </c>
      <c r="D27">
        <f>D26*150%</f>
        <v>2773500</v>
      </c>
    </row>
    <row r="28" spans="1:4">
      <c r="A28" s="3">
        <v>8</v>
      </c>
    </row>
    <row r="29" spans="1:4">
      <c r="A29" s="3">
        <v>9</v>
      </c>
      <c r="B29" s="7" t="s">
        <v>101</v>
      </c>
      <c r="C29" s="2" t="s">
        <v>393</v>
      </c>
    </row>
    <row r="30" spans="1:4">
      <c r="A30" s="3">
        <v>10</v>
      </c>
      <c r="B30" s="7" t="s">
        <v>394</v>
      </c>
      <c r="C30" s="2" t="s">
        <v>395</v>
      </c>
    </row>
    <row r="31" spans="1:4" ht="28.8">
      <c r="A31" s="3">
        <v>11</v>
      </c>
      <c r="B31" s="2" t="s">
        <v>396</v>
      </c>
      <c r="C31" s="2" t="s">
        <v>397</v>
      </c>
    </row>
    <row r="32" spans="1:4">
      <c r="A32" s="3">
        <v>12</v>
      </c>
      <c r="B32" s="2" t="s">
        <v>398</v>
      </c>
      <c r="C32" s="2" t="s">
        <v>399</v>
      </c>
    </row>
    <row r="33" spans="1:3" ht="28.8">
      <c r="A33" s="3">
        <v>13</v>
      </c>
      <c r="B33" s="2" t="s">
        <v>400</v>
      </c>
      <c r="C33" s="2" t="s">
        <v>415</v>
      </c>
    </row>
    <row r="34" spans="1:3" ht="28.8">
      <c r="A34" s="3">
        <v>14</v>
      </c>
      <c r="B34" s="2" t="s">
        <v>401</v>
      </c>
      <c r="C34" s="2" t="s">
        <v>402</v>
      </c>
    </row>
    <row r="35" spans="1:3">
      <c r="A35" s="3">
        <v>15</v>
      </c>
      <c r="B35" s="2" t="s">
        <v>403</v>
      </c>
      <c r="C35" s="2" t="s">
        <v>405</v>
      </c>
    </row>
    <row r="36" spans="1:3">
      <c r="A36" s="3">
        <v>16</v>
      </c>
      <c r="B36" s="2" t="s">
        <v>404</v>
      </c>
      <c r="C36" s="2" t="s">
        <v>406</v>
      </c>
    </row>
    <row r="37" spans="1:3">
      <c r="A37" s="3">
        <v>17</v>
      </c>
      <c r="B37" s="2" t="s">
        <v>407</v>
      </c>
      <c r="C37" s="2" t="s">
        <v>408</v>
      </c>
    </row>
    <row r="38" spans="1:3">
      <c r="A38" s="3">
        <v>18</v>
      </c>
      <c r="B38" s="2" t="s">
        <v>409</v>
      </c>
      <c r="C38" s="2" t="s">
        <v>410</v>
      </c>
    </row>
    <row r="39" spans="1:3">
      <c r="A39" s="3">
        <v>19</v>
      </c>
      <c r="B39" s="2" t="s">
        <v>411</v>
      </c>
      <c r="C39" s="2" t="s">
        <v>412</v>
      </c>
    </row>
    <row r="40" spans="1:3" ht="28.8">
      <c r="A40" s="3">
        <v>20</v>
      </c>
      <c r="B40" s="2" t="s">
        <v>413</v>
      </c>
      <c r="C40" s="2" t="s">
        <v>414</v>
      </c>
    </row>
    <row r="41" spans="1:3">
      <c r="A41" s="3">
        <v>21</v>
      </c>
    </row>
    <row r="42" spans="1:3">
      <c r="A42" s="3">
        <v>22</v>
      </c>
    </row>
    <row r="43" spans="1:3">
      <c r="A43" s="3">
        <v>23</v>
      </c>
    </row>
    <row r="44" spans="1:3">
      <c r="A44" s="3">
        <v>24</v>
      </c>
    </row>
    <row r="45" spans="1:3">
      <c r="A45" s="3">
        <v>25</v>
      </c>
    </row>
    <row r="46" spans="1:3">
      <c r="A46" s="3">
        <v>26</v>
      </c>
    </row>
    <row r="47" spans="1:3">
      <c r="A47" s="3">
        <v>27</v>
      </c>
    </row>
    <row r="48" spans="1:3">
      <c r="A48" s="3">
        <v>28</v>
      </c>
    </row>
    <row r="49" spans="1:1">
      <c r="A49" s="3">
        <v>29</v>
      </c>
    </row>
    <row r="50" spans="1:1">
      <c r="A50" s="3">
        <v>30</v>
      </c>
    </row>
    <row r="51" spans="1:1">
      <c r="A51" s="3">
        <v>31</v>
      </c>
    </row>
    <row r="52" spans="1:1">
      <c r="A52" s="3">
        <v>32</v>
      </c>
    </row>
    <row r="53" spans="1:1">
      <c r="A53" s="3">
        <v>33</v>
      </c>
    </row>
    <row r="54" spans="1:1">
      <c r="A54" s="3">
        <v>34</v>
      </c>
    </row>
    <row r="55" spans="1:1">
      <c r="A55" s="3">
        <v>35</v>
      </c>
    </row>
    <row r="56" spans="1:1">
      <c r="A56" s="3">
        <v>36</v>
      </c>
    </row>
    <row r="57" spans="1:1">
      <c r="A57" s="3">
        <v>37</v>
      </c>
    </row>
    <row r="58" spans="1:1">
      <c r="A58" s="3">
        <v>38</v>
      </c>
    </row>
    <row r="59" spans="1:1">
      <c r="A59" s="3">
        <v>39</v>
      </c>
    </row>
    <row r="60" spans="1:1">
      <c r="A60" s="3">
        <v>40</v>
      </c>
    </row>
    <row r="61" spans="1:1">
      <c r="A61" s="3">
        <v>41</v>
      </c>
    </row>
  </sheetData>
  <mergeCells count="2">
    <mergeCell ref="B6:C6"/>
    <mergeCell ref="B16:C16"/>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B6D6A-BC30-4A1A-A85A-083B202FBFA3}">
  <dimension ref="A1:L17"/>
  <sheetViews>
    <sheetView workbookViewId="0">
      <selection activeCell="E9" sqref="E9"/>
    </sheetView>
  </sheetViews>
  <sheetFormatPr defaultRowHeight="14.4"/>
  <cols>
    <col min="2" max="2" width="59.21875" customWidth="1"/>
    <col min="3" max="3" width="12.109375" bestFit="1" customWidth="1"/>
    <col min="4" max="4" width="10" bestFit="1" customWidth="1"/>
  </cols>
  <sheetData>
    <row r="1" spans="1:12" ht="21">
      <c r="A1" s="4" t="s">
        <v>49</v>
      </c>
      <c r="B1" s="5" t="s">
        <v>50</v>
      </c>
      <c r="C1" s="5" t="s">
        <v>51</v>
      </c>
      <c r="D1" s="5"/>
      <c r="E1" s="5"/>
      <c r="F1" s="5"/>
      <c r="G1" s="5"/>
      <c r="H1" s="5"/>
      <c r="I1" s="5"/>
      <c r="J1" s="5"/>
      <c r="K1" s="5"/>
      <c r="L1" s="6"/>
    </row>
    <row r="4" spans="1:12">
      <c r="A4">
        <v>1</v>
      </c>
      <c r="B4" t="s">
        <v>1145</v>
      </c>
    </row>
    <row r="5" spans="1:12">
      <c r="C5" t="s">
        <v>1149</v>
      </c>
      <c r="D5" t="s">
        <v>1150</v>
      </c>
      <c r="E5" t="s">
        <v>1151</v>
      </c>
    </row>
    <row r="6" spans="1:12">
      <c r="B6" t="s">
        <v>1146</v>
      </c>
      <c r="C6" t="s">
        <v>1152</v>
      </c>
      <c r="D6" t="s">
        <v>1153</v>
      </c>
      <c r="E6" t="s">
        <v>1153</v>
      </c>
    </row>
    <row r="7" spans="1:12">
      <c r="B7" t="s">
        <v>1147</v>
      </c>
      <c r="C7" t="s">
        <v>1154</v>
      </c>
      <c r="E7" t="s">
        <v>1154</v>
      </c>
    </row>
    <row r="8" spans="1:12">
      <c r="B8" t="s">
        <v>1148</v>
      </c>
      <c r="C8" t="s">
        <v>1155</v>
      </c>
      <c r="D8" t="s">
        <v>1156</v>
      </c>
      <c r="E8" t="s">
        <v>1155</v>
      </c>
    </row>
    <row r="17" spans="1:12" ht="21">
      <c r="A17" s="30"/>
      <c r="B17" s="30"/>
      <c r="C17" s="31" t="s">
        <v>423</v>
      </c>
      <c r="D17" s="31" t="s">
        <v>425</v>
      </c>
      <c r="E17" s="30"/>
      <c r="F17" s="30"/>
      <c r="G17" s="30"/>
      <c r="H17" s="30"/>
      <c r="I17" s="30"/>
      <c r="J17" s="30"/>
      <c r="K17" s="30"/>
      <c r="L17" s="30"/>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D9F5-6D83-40BE-9EA9-0ED218A67611}">
  <dimension ref="A1:L146"/>
  <sheetViews>
    <sheetView topLeftCell="A75" workbookViewId="0">
      <selection activeCell="C148" sqref="C148"/>
    </sheetView>
  </sheetViews>
  <sheetFormatPr defaultRowHeight="14.4"/>
  <cols>
    <col min="1" max="1" width="7.77734375" customWidth="1"/>
    <col min="2" max="2" width="53.21875" bestFit="1" customWidth="1"/>
    <col min="3" max="3" width="81.6640625" customWidth="1"/>
    <col min="4" max="4" width="43.6640625" customWidth="1"/>
  </cols>
  <sheetData>
    <row r="1" spans="1:12" ht="21">
      <c r="A1" s="4" t="s">
        <v>49</v>
      </c>
      <c r="B1" s="5" t="s">
        <v>50</v>
      </c>
      <c r="C1" s="5" t="s">
        <v>51</v>
      </c>
      <c r="D1" s="5"/>
      <c r="E1" s="5"/>
      <c r="F1" s="5"/>
      <c r="G1" s="5"/>
      <c r="H1" s="5"/>
      <c r="I1" s="5"/>
      <c r="J1" s="5"/>
      <c r="K1" s="5"/>
      <c r="L1" s="6"/>
    </row>
    <row r="2" spans="1:12">
      <c r="A2" s="243">
        <v>1</v>
      </c>
      <c r="B2" s="241" t="s">
        <v>609</v>
      </c>
      <c r="C2" s="2" t="s">
        <v>615</v>
      </c>
    </row>
    <row r="3" spans="1:12">
      <c r="A3" s="236"/>
      <c r="B3" s="242"/>
      <c r="C3" s="2" t="s">
        <v>616</v>
      </c>
    </row>
    <row r="4" spans="1:12">
      <c r="A4" s="236"/>
      <c r="B4" s="242"/>
      <c r="C4" s="2" t="s">
        <v>617</v>
      </c>
    </row>
    <row r="5" spans="1:12">
      <c r="A5" s="236"/>
      <c r="B5" s="242"/>
      <c r="C5" s="2" t="s">
        <v>618</v>
      </c>
    </row>
    <row r="6" spans="1:12">
      <c r="A6" s="236"/>
      <c r="B6" s="242"/>
      <c r="C6" s="2" t="s">
        <v>619</v>
      </c>
    </row>
    <row r="7" spans="1:12">
      <c r="A7" s="44"/>
      <c r="B7" s="18"/>
      <c r="C7" s="2"/>
    </row>
    <row r="8" spans="1:12">
      <c r="A8" s="236">
        <v>2</v>
      </c>
      <c r="B8" s="242" t="s">
        <v>620</v>
      </c>
      <c r="C8" s="2" t="s">
        <v>621</v>
      </c>
    </row>
    <row r="9" spans="1:12">
      <c r="A9" s="236"/>
      <c r="B9" s="242"/>
      <c r="C9" s="2" t="s">
        <v>622</v>
      </c>
    </row>
    <row r="10" spans="1:12">
      <c r="A10" s="44"/>
      <c r="B10" s="18"/>
      <c r="C10" s="2"/>
    </row>
    <row r="11" spans="1:12">
      <c r="A11" s="236">
        <v>3</v>
      </c>
      <c r="B11" s="236" t="s">
        <v>610</v>
      </c>
      <c r="C11" t="s">
        <v>611</v>
      </c>
    </row>
    <row r="12" spans="1:12">
      <c r="A12" s="236"/>
      <c r="B12" s="236"/>
      <c r="C12" t="s">
        <v>612</v>
      </c>
    </row>
    <row r="13" spans="1:12">
      <c r="A13" s="236"/>
      <c r="B13" s="236"/>
      <c r="C13" t="s">
        <v>613</v>
      </c>
    </row>
    <row r="14" spans="1:12">
      <c r="A14" s="236"/>
      <c r="B14" s="236"/>
      <c r="C14" t="s">
        <v>630</v>
      </c>
    </row>
    <row r="15" spans="1:12">
      <c r="A15" s="236"/>
      <c r="B15" s="236"/>
      <c r="C15" t="s">
        <v>629</v>
      </c>
    </row>
    <row r="16" spans="1:12">
      <c r="A16" s="236"/>
      <c r="B16" s="236"/>
      <c r="C16" t="s">
        <v>614</v>
      </c>
    </row>
    <row r="17" spans="1:3">
      <c r="A17" s="236"/>
      <c r="B17" s="236"/>
      <c r="C17" t="s">
        <v>624</v>
      </c>
    </row>
    <row r="18" spans="1:3">
      <c r="A18" s="236"/>
      <c r="B18" s="236"/>
      <c r="C18" t="s">
        <v>631</v>
      </c>
    </row>
    <row r="19" spans="1:3">
      <c r="A19" s="34"/>
      <c r="B19" s="45"/>
    </row>
    <row r="21" spans="1:3">
      <c r="A21">
        <v>4</v>
      </c>
      <c r="B21" t="s">
        <v>625</v>
      </c>
      <c r="C21" t="s">
        <v>626</v>
      </c>
    </row>
    <row r="23" spans="1:3">
      <c r="A23" s="236">
        <v>5</v>
      </c>
      <c r="B23" s="236" t="s">
        <v>623</v>
      </c>
      <c r="C23" t="s">
        <v>627</v>
      </c>
    </row>
    <row r="24" spans="1:3">
      <c r="A24" s="236"/>
      <c r="B24" s="236"/>
      <c r="C24" t="s">
        <v>628</v>
      </c>
    </row>
    <row r="25" spans="1:3">
      <c r="A25" s="236"/>
      <c r="B25" s="236"/>
      <c r="C25" t="s">
        <v>782</v>
      </c>
    </row>
    <row r="26" spans="1:3" ht="43.2">
      <c r="A26" s="236"/>
      <c r="B26" s="236"/>
      <c r="C26" s="32" t="s">
        <v>783</v>
      </c>
    </row>
    <row r="27" spans="1:3">
      <c r="A27" s="236"/>
      <c r="B27" s="236"/>
      <c r="C27" t="s">
        <v>784</v>
      </c>
    </row>
    <row r="29" spans="1:3">
      <c r="B29" t="s">
        <v>632</v>
      </c>
      <c r="C29" t="s">
        <v>637</v>
      </c>
    </row>
    <row r="30" spans="1:3">
      <c r="B30" t="s">
        <v>639</v>
      </c>
      <c r="C30" t="s">
        <v>638</v>
      </c>
    </row>
    <row r="31" spans="1:3" ht="57.6">
      <c r="B31" t="s">
        <v>633</v>
      </c>
      <c r="C31" s="32" t="s">
        <v>634</v>
      </c>
    </row>
    <row r="32" spans="1:3">
      <c r="B32" t="s">
        <v>635</v>
      </c>
      <c r="C32" t="s">
        <v>636</v>
      </c>
    </row>
    <row r="33" spans="1:4">
      <c r="B33" t="s">
        <v>640</v>
      </c>
      <c r="C33" t="s">
        <v>641</v>
      </c>
    </row>
    <row r="34" spans="1:4">
      <c r="B34" t="s">
        <v>642</v>
      </c>
      <c r="C34" t="s">
        <v>643</v>
      </c>
      <c r="D34" t="s">
        <v>490</v>
      </c>
    </row>
    <row r="36" spans="1:4">
      <c r="A36">
        <v>6</v>
      </c>
      <c r="B36" t="s">
        <v>644</v>
      </c>
    </row>
    <row r="37" spans="1:4" ht="28.8">
      <c r="B37" t="s">
        <v>645</v>
      </c>
      <c r="C37" s="32" t="s">
        <v>646</v>
      </c>
    </row>
    <row r="38" spans="1:4">
      <c r="B38" s="46" t="s">
        <v>647</v>
      </c>
    </row>
    <row r="39" spans="1:4">
      <c r="B39" t="s">
        <v>654</v>
      </c>
      <c r="C39" s="33" t="s">
        <v>447</v>
      </c>
    </row>
    <row r="40" spans="1:4">
      <c r="B40" t="s">
        <v>655</v>
      </c>
      <c r="C40" t="s">
        <v>648</v>
      </c>
    </row>
    <row r="41" spans="1:4">
      <c r="B41" t="s">
        <v>656</v>
      </c>
      <c r="C41" t="s">
        <v>649</v>
      </c>
    </row>
    <row r="42" spans="1:4">
      <c r="B42" t="s">
        <v>657</v>
      </c>
      <c r="C42" t="s">
        <v>650</v>
      </c>
    </row>
    <row r="43" spans="1:4">
      <c r="B43" t="s">
        <v>658</v>
      </c>
      <c r="C43" t="s">
        <v>651</v>
      </c>
    </row>
    <row r="44" spans="1:4">
      <c r="B44" t="s">
        <v>659</v>
      </c>
      <c r="C44" t="s">
        <v>652</v>
      </c>
    </row>
    <row r="45" spans="1:4">
      <c r="B45" t="s">
        <v>660</v>
      </c>
      <c r="C45" t="s">
        <v>653</v>
      </c>
    </row>
    <row r="46" spans="1:4">
      <c r="B46" t="s">
        <v>661</v>
      </c>
      <c r="C46" s="47" t="s">
        <v>662</v>
      </c>
    </row>
    <row r="47" spans="1:4">
      <c r="B47" t="s">
        <v>663</v>
      </c>
      <c r="C47" s="47" t="s">
        <v>665</v>
      </c>
    </row>
    <row r="48" spans="1:4">
      <c r="B48" t="s">
        <v>664</v>
      </c>
      <c r="C48" s="47" t="s">
        <v>666</v>
      </c>
    </row>
    <row r="49" spans="2:3">
      <c r="B49" t="s">
        <v>668</v>
      </c>
      <c r="C49" s="47" t="s">
        <v>667</v>
      </c>
    </row>
    <row r="50" spans="2:3">
      <c r="B50" t="s">
        <v>669</v>
      </c>
      <c r="C50" t="s">
        <v>670</v>
      </c>
    </row>
    <row r="51" spans="2:3">
      <c r="B51" s="46" t="s">
        <v>671</v>
      </c>
    </row>
    <row r="52" spans="2:3">
      <c r="B52" t="s">
        <v>672</v>
      </c>
      <c r="C52" t="s">
        <v>673</v>
      </c>
    </row>
    <row r="53" spans="2:3">
      <c r="B53" t="s">
        <v>674</v>
      </c>
      <c r="C53" t="s">
        <v>675</v>
      </c>
    </row>
    <row r="54" spans="2:3">
      <c r="B54" t="s">
        <v>678</v>
      </c>
      <c r="C54" t="s">
        <v>676</v>
      </c>
    </row>
    <row r="55" spans="2:3">
      <c r="B55" t="s">
        <v>679</v>
      </c>
      <c r="C55" t="s">
        <v>677</v>
      </c>
    </row>
    <row r="56" spans="2:3">
      <c r="B56" s="46" t="s">
        <v>680</v>
      </c>
    </row>
    <row r="57" spans="2:3">
      <c r="B57" t="s">
        <v>681</v>
      </c>
    </row>
    <row r="58" spans="2:3">
      <c r="B58" t="s">
        <v>684</v>
      </c>
      <c r="C58" t="s">
        <v>682</v>
      </c>
    </row>
    <row r="59" spans="2:3">
      <c r="B59" t="s">
        <v>685</v>
      </c>
      <c r="C59" t="s">
        <v>683</v>
      </c>
    </row>
    <row r="60" spans="2:3">
      <c r="B60" t="s">
        <v>686</v>
      </c>
      <c r="C60" t="s">
        <v>687</v>
      </c>
    </row>
    <row r="61" spans="2:3">
      <c r="B61" s="46" t="s">
        <v>688</v>
      </c>
    </row>
    <row r="62" spans="2:3">
      <c r="B62" t="s">
        <v>689</v>
      </c>
    </row>
    <row r="63" spans="2:3">
      <c r="B63" t="s">
        <v>690</v>
      </c>
    </row>
    <row r="64" spans="2:3">
      <c r="B64" t="s">
        <v>691</v>
      </c>
    </row>
    <row r="65" spans="2:3">
      <c r="B65" t="s">
        <v>693</v>
      </c>
    </row>
    <row r="66" spans="2:3">
      <c r="B66" s="46" t="s">
        <v>694</v>
      </c>
    </row>
    <row r="67" spans="2:3">
      <c r="B67" t="s">
        <v>692</v>
      </c>
    </row>
    <row r="68" spans="2:3">
      <c r="B68" t="s">
        <v>695</v>
      </c>
    </row>
    <row r="69" spans="2:3">
      <c r="B69" t="s">
        <v>57</v>
      </c>
    </row>
    <row r="70" spans="2:3">
      <c r="B70" s="46" t="s">
        <v>696</v>
      </c>
    </row>
    <row r="71" spans="2:3">
      <c r="B71" t="s">
        <v>697</v>
      </c>
    </row>
    <row r="72" spans="2:3">
      <c r="B72" t="s">
        <v>698</v>
      </c>
    </row>
    <row r="73" spans="2:3">
      <c r="B73" s="46" t="s">
        <v>699</v>
      </c>
    </row>
    <row r="74" spans="2:3" ht="86.4">
      <c r="B74" t="s">
        <v>700</v>
      </c>
      <c r="C74" s="32" t="s">
        <v>701</v>
      </c>
    </row>
    <row r="75" spans="2:3" ht="172.8">
      <c r="B75" t="s">
        <v>702</v>
      </c>
      <c r="C75" s="32" t="s">
        <v>703</v>
      </c>
    </row>
    <row r="76" spans="2:3" ht="43.2">
      <c r="B76" s="236" t="s">
        <v>704</v>
      </c>
      <c r="C76" s="32" t="s">
        <v>705</v>
      </c>
    </row>
    <row r="77" spans="2:3" ht="43.2">
      <c r="B77" s="236"/>
      <c r="C77" s="32" t="s">
        <v>706</v>
      </c>
    </row>
    <row r="78" spans="2:3" ht="86.4">
      <c r="B78" s="236"/>
      <c r="C78" s="32" t="s">
        <v>707</v>
      </c>
    </row>
    <row r="79" spans="2:3">
      <c r="B79" s="46" t="s">
        <v>708</v>
      </c>
    </row>
    <row r="80" spans="2:3" ht="28.8">
      <c r="B80" t="s">
        <v>466</v>
      </c>
      <c r="C80" s="32" t="s">
        <v>713</v>
      </c>
    </row>
    <row r="81" spans="2:3" ht="43.2">
      <c r="B81" t="s">
        <v>734</v>
      </c>
      <c r="C81" s="32" t="s">
        <v>731</v>
      </c>
    </row>
    <row r="82" spans="2:3" ht="28.8">
      <c r="B82" t="s">
        <v>709</v>
      </c>
      <c r="C82" s="32" t="s">
        <v>712</v>
      </c>
    </row>
    <row r="83" spans="2:3" ht="28.8">
      <c r="B83" t="s">
        <v>710</v>
      </c>
      <c r="C83" s="32" t="s">
        <v>711</v>
      </c>
    </row>
    <row r="84" spans="2:3">
      <c r="B84" s="46" t="s">
        <v>714</v>
      </c>
    </row>
    <row r="85" spans="2:3">
      <c r="B85" t="s">
        <v>715</v>
      </c>
      <c r="C85" s="32" t="s">
        <v>716</v>
      </c>
    </row>
    <row r="86" spans="2:3">
      <c r="B86" t="s">
        <v>719</v>
      </c>
      <c r="C86" s="32" t="s">
        <v>720</v>
      </c>
    </row>
    <row r="87" spans="2:3">
      <c r="B87" t="s">
        <v>717</v>
      </c>
      <c r="C87" s="32" t="s">
        <v>718</v>
      </c>
    </row>
    <row r="88" spans="2:3" ht="57.6">
      <c r="B88" t="s">
        <v>721</v>
      </c>
      <c r="C88" s="32" t="s">
        <v>722</v>
      </c>
    </row>
    <row r="89" spans="2:3">
      <c r="B89" s="223" t="s">
        <v>723</v>
      </c>
      <c r="C89" s="32" t="s">
        <v>726</v>
      </c>
    </row>
    <row r="90" spans="2:3">
      <c r="B90" s="223"/>
      <c r="C90" s="32" t="s">
        <v>729</v>
      </c>
    </row>
    <row r="91" spans="2:3" ht="72">
      <c r="B91" s="223"/>
      <c r="C91" s="32" t="s">
        <v>730</v>
      </c>
    </row>
    <row r="92" spans="2:3">
      <c r="B92" t="s">
        <v>727</v>
      </c>
      <c r="C92" t="s">
        <v>724</v>
      </c>
    </row>
    <row r="93" spans="2:3">
      <c r="B93" t="s">
        <v>728</v>
      </c>
      <c r="C93" t="s">
        <v>725</v>
      </c>
    </row>
    <row r="94" spans="2:3" ht="43.2">
      <c r="B94" t="s">
        <v>732</v>
      </c>
      <c r="C94" s="32" t="s">
        <v>735</v>
      </c>
    </row>
    <row r="95" spans="2:3" ht="43.2">
      <c r="B95" t="s">
        <v>733</v>
      </c>
      <c r="C95" s="32" t="s">
        <v>736</v>
      </c>
    </row>
    <row r="96" spans="2:3">
      <c r="B96" s="46" t="s">
        <v>737</v>
      </c>
    </row>
    <row r="97" spans="1:3">
      <c r="B97" t="s">
        <v>738</v>
      </c>
      <c r="C97" t="s">
        <v>739</v>
      </c>
    </row>
    <row r="98" spans="1:3">
      <c r="B98" t="s">
        <v>740</v>
      </c>
      <c r="C98" t="s">
        <v>741</v>
      </c>
    </row>
    <row r="99" spans="1:3">
      <c r="B99" t="s">
        <v>742</v>
      </c>
      <c r="C99" t="s">
        <v>743</v>
      </c>
    </row>
    <row r="100" spans="1:3">
      <c r="B100" s="46" t="s">
        <v>744</v>
      </c>
    </row>
    <row r="101" spans="1:3">
      <c r="B101" t="s">
        <v>746</v>
      </c>
      <c r="C101" t="s">
        <v>745</v>
      </c>
    </row>
    <row r="102" spans="1:3" ht="28.8">
      <c r="B102" t="s">
        <v>747</v>
      </c>
      <c r="C102" s="32" t="s">
        <v>748</v>
      </c>
    </row>
    <row r="104" spans="1:3">
      <c r="B104" s="46" t="s">
        <v>749</v>
      </c>
    </row>
    <row r="105" spans="1:3">
      <c r="A105">
        <v>7</v>
      </c>
      <c r="B105" s="46" t="s">
        <v>756</v>
      </c>
    </row>
    <row r="106" spans="1:3">
      <c r="B106" t="s">
        <v>750</v>
      </c>
      <c r="C106" t="s">
        <v>751</v>
      </c>
    </row>
    <row r="107" spans="1:3">
      <c r="B107" t="s">
        <v>752</v>
      </c>
      <c r="C107" t="s">
        <v>753</v>
      </c>
    </row>
    <row r="108" spans="1:3">
      <c r="B108" t="s">
        <v>754</v>
      </c>
      <c r="C108" t="s">
        <v>755</v>
      </c>
    </row>
    <row r="109" spans="1:3">
      <c r="A109">
        <v>8</v>
      </c>
      <c r="B109" s="46" t="s">
        <v>757</v>
      </c>
    </row>
    <row r="110" spans="1:3">
      <c r="B110" t="s">
        <v>761</v>
      </c>
      <c r="C110" t="s">
        <v>758</v>
      </c>
    </row>
    <row r="111" spans="1:3">
      <c r="B111" t="s">
        <v>760</v>
      </c>
      <c r="C111" t="s">
        <v>759</v>
      </c>
    </row>
    <row r="112" spans="1:3">
      <c r="A112">
        <v>9</v>
      </c>
      <c r="B112" t="s">
        <v>762</v>
      </c>
      <c r="C112" t="s">
        <v>763</v>
      </c>
    </row>
    <row r="113" spans="1:3">
      <c r="A113">
        <v>10</v>
      </c>
      <c r="B113" t="s">
        <v>764</v>
      </c>
      <c r="C113" t="s">
        <v>765</v>
      </c>
    </row>
    <row r="114" spans="1:3">
      <c r="B114" t="s">
        <v>766</v>
      </c>
      <c r="C114" t="s">
        <v>767</v>
      </c>
    </row>
    <row r="115" spans="1:3">
      <c r="A115" s="249">
        <v>11</v>
      </c>
      <c r="B115" s="223" t="s">
        <v>768</v>
      </c>
      <c r="C115" t="s">
        <v>769</v>
      </c>
    </row>
    <row r="116" spans="1:3" ht="43.2">
      <c r="A116" s="249"/>
      <c r="B116" s="223"/>
      <c r="C116" s="32" t="s">
        <v>791</v>
      </c>
    </row>
    <row r="117" spans="1:3">
      <c r="A117">
        <v>12</v>
      </c>
      <c r="B117" t="s">
        <v>770</v>
      </c>
      <c r="C117" t="s">
        <v>771</v>
      </c>
    </row>
    <row r="118" spans="1:3">
      <c r="A118">
        <v>13</v>
      </c>
      <c r="B118" t="s">
        <v>772</v>
      </c>
      <c r="C118" t="s">
        <v>773</v>
      </c>
    </row>
    <row r="119" spans="1:3">
      <c r="A119">
        <v>14</v>
      </c>
      <c r="B119" t="s">
        <v>774</v>
      </c>
      <c r="C119" t="s">
        <v>775</v>
      </c>
    </row>
    <row r="120" spans="1:3">
      <c r="A120">
        <v>15</v>
      </c>
      <c r="B120" t="s">
        <v>776</v>
      </c>
      <c r="C120" t="s">
        <v>777</v>
      </c>
    </row>
    <row r="121" spans="1:3">
      <c r="A121">
        <v>16</v>
      </c>
      <c r="B121" t="s">
        <v>778</v>
      </c>
      <c r="C121" t="s">
        <v>779</v>
      </c>
    </row>
    <row r="122" spans="1:3">
      <c r="A122">
        <v>17</v>
      </c>
      <c r="B122" t="s">
        <v>780</v>
      </c>
      <c r="C122" t="s">
        <v>781</v>
      </c>
    </row>
    <row r="123" spans="1:3">
      <c r="A123" s="249">
        <v>18</v>
      </c>
      <c r="B123" s="223" t="s">
        <v>785</v>
      </c>
      <c r="C123" t="s">
        <v>786</v>
      </c>
    </row>
    <row r="124" spans="1:3">
      <c r="A124" s="249"/>
      <c r="B124" s="223"/>
      <c r="C124" t="s">
        <v>787</v>
      </c>
    </row>
    <row r="125" spans="1:3">
      <c r="A125" s="249"/>
      <c r="B125" s="223"/>
      <c r="C125" t="s">
        <v>788</v>
      </c>
    </row>
    <row r="126" spans="1:3">
      <c r="A126" s="249">
        <v>19</v>
      </c>
      <c r="B126" s="223" t="s">
        <v>789</v>
      </c>
      <c r="C126" t="s">
        <v>790</v>
      </c>
    </row>
    <row r="127" spans="1:3">
      <c r="A127" s="249"/>
      <c r="B127" s="223"/>
      <c r="C127" t="s">
        <v>793</v>
      </c>
    </row>
    <row r="128" spans="1:3">
      <c r="A128">
        <v>20</v>
      </c>
      <c r="B128" t="s">
        <v>792</v>
      </c>
      <c r="C128" t="s">
        <v>794</v>
      </c>
    </row>
    <row r="129" spans="1:3">
      <c r="A129">
        <v>21</v>
      </c>
      <c r="B129" t="s">
        <v>795</v>
      </c>
      <c r="C129" t="s">
        <v>796</v>
      </c>
    </row>
    <row r="130" spans="1:3" ht="57.6">
      <c r="A130" s="44">
        <v>22</v>
      </c>
      <c r="B130" s="44" t="s">
        <v>797</v>
      </c>
      <c r="C130" s="32" t="s">
        <v>798</v>
      </c>
    </row>
    <row r="131" spans="1:3">
      <c r="A131">
        <v>23</v>
      </c>
      <c r="B131" t="s">
        <v>799</v>
      </c>
      <c r="C131" t="s">
        <v>800</v>
      </c>
    </row>
    <row r="132" spans="1:3">
      <c r="A132" s="249">
        <v>24</v>
      </c>
      <c r="B132" s="223" t="s">
        <v>801</v>
      </c>
      <c r="C132" t="s">
        <v>802</v>
      </c>
    </row>
    <row r="133" spans="1:3">
      <c r="A133" s="249"/>
      <c r="B133" s="223"/>
      <c r="C133" t="s">
        <v>803</v>
      </c>
    </row>
    <row r="134" spans="1:3">
      <c r="A134" s="249">
        <v>25</v>
      </c>
      <c r="B134" t="s">
        <v>804</v>
      </c>
    </row>
    <row r="135" spans="1:3">
      <c r="A135" s="249"/>
      <c r="B135" t="s">
        <v>807</v>
      </c>
      <c r="C135" t="s">
        <v>806</v>
      </c>
    </row>
    <row r="136" spans="1:3">
      <c r="A136" s="249"/>
      <c r="B136" t="s">
        <v>805</v>
      </c>
      <c r="C136" t="s">
        <v>808</v>
      </c>
    </row>
    <row r="137" spans="1:3">
      <c r="A137" s="249"/>
      <c r="B137" s="223" t="s">
        <v>809</v>
      </c>
      <c r="C137" t="s">
        <v>810</v>
      </c>
    </row>
    <row r="138" spans="1:3">
      <c r="A138" s="249"/>
      <c r="B138" s="223"/>
      <c r="C138" t="s">
        <v>811</v>
      </c>
    </row>
    <row r="139" spans="1:3">
      <c r="A139" s="249"/>
      <c r="B139" t="s">
        <v>812</v>
      </c>
      <c r="C139" t="s">
        <v>813</v>
      </c>
    </row>
    <row r="140" spans="1:3">
      <c r="A140" s="249"/>
      <c r="B140" t="s">
        <v>814</v>
      </c>
    </row>
    <row r="141" spans="1:3">
      <c r="A141" s="249"/>
      <c r="B141" t="s">
        <v>815</v>
      </c>
      <c r="C141" t="s">
        <v>816</v>
      </c>
    </row>
    <row r="142" spans="1:3">
      <c r="A142">
        <v>26</v>
      </c>
      <c r="B142" t="s">
        <v>817</v>
      </c>
      <c r="C142" t="s">
        <v>818</v>
      </c>
    </row>
    <row r="143" spans="1:3">
      <c r="A143" s="249">
        <v>27</v>
      </c>
      <c r="B143" t="s">
        <v>819</v>
      </c>
      <c r="C143" t="s">
        <v>820</v>
      </c>
    </row>
    <row r="144" spans="1:3">
      <c r="A144" s="249"/>
      <c r="B144" t="s">
        <v>821</v>
      </c>
      <c r="C144" t="s">
        <v>822</v>
      </c>
    </row>
    <row r="145" spans="1:3">
      <c r="A145" s="249"/>
      <c r="B145" t="s">
        <v>823</v>
      </c>
      <c r="C145" t="s">
        <v>824</v>
      </c>
    </row>
    <row r="146" spans="1:3">
      <c r="A146">
        <v>28</v>
      </c>
      <c r="B146" t="s">
        <v>825</v>
      </c>
      <c r="C146" t="s">
        <v>826</v>
      </c>
    </row>
  </sheetData>
  <mergeCells count="21">
    <mergeCell ref="A23:A27"/>
    <mergeCell ref="B23:B27"/>
    <mergeCell ref="A115:A116"/>
    <mergeCell ref="B115:B116"/>
    <mergeCell ref="B2:B6"/>
    <mergeCell ref="A2:A6"/>
    <mergeCell ref="A8:A9"/>
    <mergeCell ref="B8:B9"/>
    <mergeCell ref="B11:B18"/>
    <mergeCell ref="A11:A18"/>
    <mergeCell ref="A143:A145"/>
    <mergeCell ref="B123:B125"/>
    <mergeCell ref="A123:A125"/>
    <mergeCell ref="B76:B78"/>
    <mergeCell ref="B89:B91"/>
    <mergeCell ref="A132:A133"/>
    <mergeCell ref="B132:B133"/>
    <mergeCell ref="B137:B138"/>
    <mergeCell ref="A134:A141"/>
    <mergeCell ref="A126:A127"/>
    <mergeCell ref="B126:B12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19"/>
  <sheetViews>
    <sheetView workbookViewId="0">
      <selection activeCell="B159" sqref="B159:B161"/>
    </sheetView>
  </sheetViews>
  <sheetFormatPr defaultRowHeight="14.4"/>
  <cols>
    <col min="1" max="1" width="7.77734375" customWidth="1"/>
    <col min="2" max="2" width="80.6640625" bestFit="1" customWidth="1"/>
    <col min="3" max="3" width="53.77734375" bestFit="1" customWidth="1"/>
    <col min="4" max="4" width="47.77734375" customWidth="1"/>
  </cols>
  <sheetData>
    <row r="1" spans="1:12" ht="21">
      <c r="A1" s="4" t="s">
        <v>49</v>
      </c>
      <c r="B1" s="5" t="s">
        <v>50</v>
      </c>
      <c r="C1" s="5" t="s">
        <v>51</v>
      </c>
      <c r="D1" s="5"/>
      <c r="E1" s="5"/>
      <c r="F1" s="5"/>
      <c r="G1" s="5"/>
      <c r="H1" s="5"/>
      <c r="I1" s="5"/>
      <c r="J1" s="5"/>
      <c r="K1" s="5"/>
      <c r="L1" s="6"/>
    </row>
    <row r="3" spans="1:12">
      <c r="B3" t="s">
        <v>844</v>
      </c>
    </row>
    <row r="4" spans="1:12">
      <c r="B4" t="s">
        <v>845</v>
      </c>
      <c r="C4" t="s">
        <v>846</v>
      </c>
    </row>
    <row r="6" spans="1:12">
      <c r="B6" t="s">
        <v>1077</v>
      </c>
    </row>
    <row r="7" spans="1:12">
      <c r="B7" t="s">
        <v>1078</v>
      </c>
      <c r="C7" t="s">
        <v>1079</v>
      </c>
    </row>
    <row r="8" spans="1:12">
      <c r="B8" t="s">
        <v>1080</v>
      </c>
      <c r="C8" t="s">
        <v>1081</v>
      </c>
    </row>
    <row r="9" spans="1:12">
      <c r="B9" t="s">
        <v>1082</v>
      </c>
      <c r="C9" t="s">
        <v>1083</v>
      </c>
    </row>
    <row r="10" spans="1:12">
      <c r="B10" t="s">
        <v>1084</v>
      </c>
      <c r="C10" t="s">
        <v>1085</v>
      </c>
    </row>
    <row r="11" spans="1:12">
      <c r="B11" t="s">
        <v>1086</v>
      </c>
      <c r="C11" t="s">
        <v>998</v>
      </c>
    </row>
    <row r="12" spans="1:12">
      <c r="B12" t="s">
        <v>1087</v>
      </c>
      <c r="C12" t="s">
        <v>1088</v>
      </c>
    </row>
    <row r="13" spans="1:12">
      <c r="B13" t="s">
        <v>1090</v>
      </c>
      <c r="C13" t="s">
        <v>1089</v>
      </c>
    </row>
    <row r="19" spans="1:3">
      <c r="A19" s="49"/>
      <c r="B19" s="49" t="s">
        <v>831</v>
      </c>
      <c r="C19" s="49" t="s">
        <v>832</v>
      </c>
    </row>
    <row r="20" spans="1:3">
      <c r="A20" s="49"/>
      <c r="B20" s="49" t="s">
        <v>833</v>
      </c>
      <c r="C20" s="49" t="s">
        <v>834</v>
      </c>
    </row>
    <row r="21" spans="1:3" s="49" customFormat="1">
      <c r="A21" s="49">
        <v>1</v>
      </c>
      <c r="B21" s="48" t="s">
        <v>197</v>
      </c>
      <c r="C21" s="48" t="s">
        <v>851</v>
      </c>
    </row>
    <row r="22" spans="1:3" s="49" customFormat="1">
      <c r="B22" s="48" t="s">
        <v>852</v>
      </c>
      <c r="C22" s="48" t="s">
        <v>853</v>
      </c>
    </row>
    <row r="23" spans="1:3">
      <c r="B23" s="20" t="s">
        <v>829</v>
      </c>
      <c r="C23" s="20" t="s">
        <v>830</v>
      </c>
    </row>
    <row r="24" spans="1:3">
      <c r="A24" s="49">
        <v>2</v>
      </c>
      <c r="B24" s="48" t="s">
        <v>198</v>
      </c>
      <c r="C24" s="48" t="s">
        <v>199</v>
      </c>
    </row>
    <row r="25" spans="1:3">
      <c r="A25">
        <v>3</v>
      </c>
      <c r="B25" s="20" t="s">
        <v>193</v>
      </c>
      <c r="C25" s="20" t="s">
        <v>194</v>
      </c>
    </row>
    <row r="26" spans="1:3">
      <c r="A26" s="49">
        <v>4</v>
      </c>
      <c r="B26" s="48" t="s">
        <v>213</v>
      </c>
      <c r="C26" s="48" t="s">
        <v>216</v>
      </c>
    </row>
    <row r="27" spans="1:3" s="49" customFormat="1">
      <c r="A27" s="49">
        <v>5</v>
      </c>
      <c r="B27" s="48" t="s">
        <v>215</v>
      </c>
      <c r="C27" s="48" t="s">
        <v>214</v>
      </c>
    </row>
    <row r="28" spans="1:3">
      <c r="A28">
        <v>6</v>
      </c>
      <c r="B28" s="20" t="s">
        <v>217</v>
      </c>
      <c r="C28" s="20" t="s">
        <v>218</v>
      </c>
    </row>
    <row r="29" spans="1:3">
      <c r="A29" s="49">
        <v>7</v>
      </c>
      <c r="B29" s="48" t="s">
        <v>219</v>
      </c>
      <c r="C29" s="48" t="s">
        <v>222</v>
      </c>
    </row>
    <row r="30" spans="1:3" s="49" customFormat="1">
      <c r="A30" s="49">
        <v>8</v>
      </c>
      <c r="B30" s="48" t="s">
        <v>221</v>
      </c>
      <c r="C30" s="48" t="s">
        <v>220</v>
      </c>
    </row>
    <row r="31" spans="1:3" s="49" customFormat="1">
      <c r="A31" s="49">
        <v>9</v>
      </c>
      <c r="B31" s="48" t="s">
        <v>223</v>
      </c>
      <c r="C31" s="48" t="s">
        <v>199</v>
      </c>
    </row>
    <row r="32" spans="1:3" s="49" customFormat="1">
      <c r="A32" s="49">
        <v>10</v>
      </c>
      <c r="B32" s="48" t="s">
        <v>224</v>
      </c>
      <c r="C32" s="48" t="s">
        <v>225</v>
      </c>
    </row>
    <row r="33" spans="1:4">
      <c r="A33" s="49"/>
      <c r="B33" s="48" t="s">
        <v>827</v>
      </c>
      <c r="C33" s="48" t="s">
        <v>828</v>
      </c>
    </row>
    <row r="34" spans="1:4">
      <c r="B34" s="20"/>
      <c r="C34" s="20"/>
    </row>
    <row r="35" spans="1:4">
      <c r="A35" s="49">
        <v>11</v>
      </c>
      <c r="B35" s="48" t="s">
        <v>226</v>
      </c>
      <c r="C35" s="48" t="s">
        <v>227</v>
      </c>
    </row>
    <row r="36" spans="1:4">
      <c r="A36" s="49">
        <v>12</v>
      </c>
      <c r="B36" s="48" t="s">
        <v>232</v>
      </c>
      <c r="C36" s="48" t="s">
        <v>233</v>
      </c>
    </row>
    <row r="37" spans="1:4">
      <c r="A37">
        <v>13</v>
      </c>
      <c r="B37" s="20" t="s">
        <v>245</v>
      </c>
      <c r="C37" s="20" t="s">
        <v>246</v>
      </c>
    </row>
    <row r="38" spans="1:4">
      <c r="A38">
        <v>14</v>
      </c>
      <c r="B38" s="20" t="s">
        <v>247</v>
      </c>
      <c r="C38" s="20" t="s">
        <v>248</v>
      </c>
    </row>
    <row r="39" spans="1:4">
      <c r="A39">
        <v>15</v>
      </c>
      <c r="B39" s="20" t="s">
        <v>249</v>
      </c>
      <c r="C39" s="20" t="s">
        <v>250</v>
      </c>
    </row>
    <row r="40" spans="1:4">
      <c r="A40">
        <v>17</v>
      </c>
      <c r="B40" s="20" t="s">
        <v>254</v>
      </c>
      <c r="C40" s="20" t="s">
        <v>255</v>
      </c>
      <c r="D40" t="s">
        <v>258</v>
      </c>
    </row>
    <row r="41" spans="1:4">
      <c r="A41">
        <v>18</v>
      </c>
      <c r="B41" s="20" t="s">
        <v>256</v>
      </c>
      <c r="C41" s="20" t="s">
        <v>257</v>
      </c>
    </row>
    <row r="42" spans="1:4">
      <c r="A42">
        <v>19</v>
      </c>
      <c r="B42" s="20" t="s">
        <v>847</v>
      </c>
      <c r="C42" s="20" t="s">
        <v>850</v>
      </c>
    </row>
    <row r="43" spans="1:4">
      <c r="A43">
        <v>20</v>
      </c>
      <c r="B43" s="20" t="s">
        <v>848</v>
      </c>
      <c r="C43" s="20" t="s">
        <v>849</v>
      </c>
    </row>
    <row r="44" spans="1:4">
      <c r="B44" s="20" t="s">
        <v>1055</v>
      </c>
      <c r="C44" s="20" t="s">
        <v>1056</v>
      </c>
    </row>
    <row r="45" spans="1:4">
      <c r="B45" s="20"/>
      <c r="C45" s="20"/>
    </row>
    <row r="46" spans="1:4">
      <c r="B46" s="20"/>
      <c r="C46" s="20"/>
    </row>
    <row r="47" spans="1:4">
      <c r="A47">
        <v>21</v>
      </c>
      <c r="B47" s="50" t="s">
        <v>854</v>
      </c>
      <c r="C47" s="20"/>
    </row>
    <row r="48" spans="1:4">
      <c r="A48">
        <v>22</v>
      </c>
      <c r="B48" s="20" t="s">
        <v>855</v>
      </c>
      <c r="C48" s="20" t="s">
        <v>856</v>
      </c>
    </row>
    <row r="49" spans="1:3">
      <c r="A49">
        <v>23</v>
      </c>
      <c r="B49" s="223" t="s">
        <v>857</v>
      </c>
      <c r="C49" s="20" t="s">
        <v>858</v>
      </c>
    </row>
    <row r="50" spans="1:3">
      <c r="B50" s="223"/>
      <c r="C50" s="20" t="s">
        <v>859</v>
      </c>
    </row>
    <row r="51" spans="1:3">
      <c r="A51">
        <v>24</v>
      </c>
      <c r="B51" s="20" t="s">
        <v>860</v>
      </c>
      <c r="C51" s="20" t="s">
        <v>861</v>
      </c>
    </row>
    <row r="52" spans="1:3">
      <c r="A52">
        <v>25</v>
      </c>
      <c r="B52" s="20" t="s">
        <v>862</v>
      </c>
      <c r="C52" s="20" t="s">
        <v>863</v>
      </c>
    </row>
    <row r="53" spans="1:3">
      <c r="A53">
        <v>26</v>
      </c>
      <c r="B53" s="50" t="s">
        <v>864</v>
      </c>
      <c r="C53" s="20"/>
    </row>
    <row r="54" spans="1:3">
      <c r="B54" s="20" t="s">
        <v>865</v>
      </c>
      <c r="C54" s="20" t="s">
        <v>866</v>
      </c>
    </row>
    <row r="55" spans="1:3">
      <c r="B55" s="20" t="s">
        <v>877</v>
      </c>
      <c r="C55" s="20" t="s">
        <v>867</v>
      </c>
    </row>
    <row r="56" spans="1:3">
      <c r="B56" s="20" t="s">
        <v>878</v>
      </c>
      <c r="C56" s="20" t="s">
        <v>868</v>
      </c>
    </row>
    <row r="57" spans="1:3">
      <c r="B57" s="20" t="s">
        <v>879</v>
      </c>
      <c r="C57" s="20" t="s">
        <v>869</v>
      </c>
    </row>
    <row r="58" spans="1:3">
      <c r="B58" s="20" t="s">
        <v>880</v>
      </c>
      <c r="C58" s="20" t="s">
        <v>870</v>
      </c>
    </row>
    <row r="59" spans="1:3">
      <c r="B59" s="20" t="s">
        <v>881</v>
      </c>
      <c r="C59" s="20" t="s">
        <v>871</v>
      </c>
    </row>
    <row r="60" spans="1:3">
      <c r="B60" s="20" t="s">
        <v>882</v>
      </c>
      <c r="C60" s="20" t="s">
        <v>872</v>
      </c>
    </row>
    <row r="61" spans="1:3">
      <c r="B61" s="51" t="s">
        <v>884</v>
      </c>
      <c r="C61" s="51" t="s">
        <v>883</v>
      </c>
    </row>
    <row r="62" spans="1:3">
      <c r="B62" s="52" t="s">
        <v>886</v>
      </c>
      <c r="C62" s="52" t="s">
        <v>885</v>
      </c>
    </row>
    <row r="63" spans="1:3">
      <c r="B63" s="52" t="s">
        <v>888</v>
      </c>
      <c r="C63" s="52" t="s">
        <v>887</v>
      </c>
    </row>
    <row r="64" spans="1:3">
      <c r="B64" s="52" t="s">
        <v>889</v>
      </c>
      <c r="C64" s="52" t="s">
        <v>883</v>
      </c>
    </row>
    <row r="65" spans="1:3">
      <c r="B65" s="52" t="s">
        <v>890</v>
      </c>
      <c r="C65" s="52" t="s">
        <v>891</v>
      </c>
    </row>
    <row r="66" spans="1:3">
      <c r="B66" s="52" t="s">
        <v>892</v>
      </c>
      <c r="C66" s="52" t="s">
        <v>893</v>
      </c>
    </row>
    <row r="67" spans="1:3">
      <c r="B67" s="20" t="s">
        <v>894</v>
      </c>
      <c r="C67" s="20" t="s">
        <v>873</v>
      </c>
    </row>
    <row r="68" spans="1:3">
      <c r="B68" s="20" t="s">
        <v>895</v>
      </c>
      <c r="C68" s="20" t="s">
        <v>874</v>
      </c>
    </row>
    <row r="69" spans="1:3">
      <c r="B69" s="20" t="s">
        <v>896</v>
      </c>
      <c r="C69" s="20" t="s">
        <v>875</v>
      </c>
    </row>
    <row r="70" spans="1:3">
      <c r="B70" s="20" t="s">
        <v>897</v>
      </c>
      <c r="C70" s="20" t="s">
        <v>876</v>
      </c>
    </row>
    <row r="71" spans="1:3">
      <c r="B71" s="20"/>
      <c r="C71" s="20"/>
    </row>
    <row r="72" spans="1:3">
      <c r="A72">
        <v>27</v>
      </c>
      <c r="B72" s="20" t="s">
        <v>898</v>
      </c>
      <c r="C72" s="20" t="s">
        <v>899</v>
      </c>
    </row>
    <row r="73" spans="1:3">
      <c r="B73" s="20" t="s">
        <v>1057</v>
      </c>
      <c r="C73" s="20" t="s">
        <v>1058</v>
      </c>
    </row>
    <row r="74" spans="1:3">
      <c r="A74">
        <v>28</v>
      </c>
      <c r="B74" s="20" t="s">
        <v>900</v>
      </c>
      <c r="C74" s="20" t="s">
        <v>901</v>
      </c>
    </row>
    <row r="75" spans="1:3">
      <c r="A75">
        <v>29</v>
      </c>
      <c r="B75" s="20" t="s">
        <v>902</v>
      </c>
      <c r="C75" s="20" t="s">
        <v>903</v>
      </c>
    </row>
    <row r="76" spans="1:3">
      <c r="A76">
        <v>30</v>
      </c>
      <c r="B76" s="20" t="s">
        <v>904</v>
      </c>
      <c r="C76" s="20" t="s">
        <v>905</v>
      </c>
    </row>
    <row r="77" spans="1:3">
      <c r="B77" s="20"/>
      <c r="C77" s="20"/>
    </row>
    <row r="78" spans="1:3">
      <c r="A78">
        <v>31</v>
      </c>
      <c r="B78" s="20" t="s">
        <v>907</v>
      </c>
      <c r="C78" s="20" t="s">
        <v>906</v>
      </c>
    </row>
    <row r="79" spans="1:3">
      <c r="B79" s="20"/>
      <c r="C79" s="20"/>
    </row>
    <row r="80" spans="1:3">
      <c r="A80">
        <v>32</v>
      </c>
      <c r="B80" s="20" t="s">
        <v>908</v>
      </c>
      <c r="C80" s="20" t="s">
        <v>909</v>
      </c>
    </row>
    <row r="81" spans="1:4">
      <c r="A81">
        <v>33</v>
      </c>
      <c r="B81" s="20" t="s">
        <v>911</v>
      </c>
      <c r="C81" s="20" t="s">
        <v>910</v>
      </c>
    </row>
    <row r="82" spans="1:4">
      <c r="A82">
        <v>34</v>
      </c>
      <c r="B82" s="20" t="s">
        <v>912</v>
      </c>
      <c r="C82" s="20" t="s">
        <v>913</v>
      </c>
      <c r="D82" t="s">
        <v>914</v>
      </c>
    </row>
    <row r="83" spans="1:4">
      <c r="B83" s="20"/>
      <c r="C83" s="20"/>
    </row>
    <row r="84" spans="1:4">
      <c r="A84">
        <v>35</v>
      </c>
      <c r="B84" s="20" t="s">
        <v>915</v>
      </c>
      <c r="C84" s="20" t="s">
        <v>916</v>
      </c>
    </row>
    <row r="85" spans="1:4">
      <c r="A85">
        <v>36</v>
      </c>
      <c r="B85" s="20" t="s">
        <v>917</v>
      </c>
      <c r="C85" s="20" t="s">
        <v>918</v>
      </c>
    </row>
    <row r="86" spans="1:4">
      <c r="A86">
        <v>37</v>
      </c>
      <c r="B86" s="20" t="s">
        <v>920</v>
      </c>
      <c r="C86" s="20" t="s">
        <v>919</v>
      </c>
    </row>
    <row r="87" spans="1:4">
      <c r="A87">
        <v>38</v>
      </c>
      <c r="B87" s="20" t="s">
        <v>922</v>
      </c>
      <c r="C87" s="20" t="s">
        <v>921</v>
      </c>
    </row>
    <row r="88" spans="1:4">
      <c r="A88">
        <v>39</v>
      </c>
      <c r="B88" s="20" t="s">
        <v>923</v>
      </c>
      <c r="C88" s="20" t="s">
        <v>924</v>
      </c>
    </row>
    <row r="89" spans="1:4">
      <c r="A89">
        <v>40</v>
      </c>
      <c r="B89" s="20" t="s">
        <v>925</v>
      </c>
      <c r="C89" s="20" t="s">
        <v>926</v>
      </c>
    </row>
    <row r="90" spans="1:4">
      <c r="A90">
        <v>41</v>
      </c>
      <c r="B90" s="20" t="s">
        <v>927</v>
      </c>
      <c r="C90" s="20" t="s">
        <v>928</v>
      </c>
    </row>
    <row r="91" spans="1:4">
      <c r="A91">
        <v>42</v>
      </c>
      <c r="B91" s="20" t="s">
        <v>929</v>
      </c>
      <c r="C91" s="20" t="s">
        <v>930</v>
      </c>
    </row>
    <row r="92" spans="1:4">
      <c r="A92">
        <v>43</v>
      </c>
      <c r="B92" s="20" t="s">
        <v>931</v>
      </c>
      <c r="C92" s="20" t="s">
        <v>932</v>
      </c>
    </row>
    <row r="93" spans="1:4">
      <c r="B93" s="20"/>
      <c r="C93" s="20"/>
    </row>
    <row r="94" spans="1:4">
      <c r="A94">
        <v>44</v>
      </c>
      <c r="B94" s="20" t="s">
        <v>933</v>
      </c>
      <c r="C94" s="20" t="s">
        <v>934</v>
      </c>
    </row>
    <row r="95" spans="1:4">
      <c r="B95" s="20"/>
      <c r="C95" s="20"/>
    </row>
    <row r="96" spans="1:4">
      <c r="B96" s="20"/>
      <c r="C96" s="20"/>
    </row>
    <row r="97" spans="1:3">
      <c r="B97" s="20"/>
      <c r="C97" s="20"/>
    </row>
    <row r="98" spans="1:3">
      <c r="B98" s="20"/>
      <c r="C98" s="20"/>
    </row>
    <row r="99" spans="1:3">
      <c r="B99" s="20"/>
      <c r="C99" s="20"/>
    </row>
    <row r="100" spans="1:3">
      <c r="A100">
        <v>45</v>
      </c>
      <c r="B100" s="50" t="s">
        <v>835</v>
      </c>
    </row>
    <row r="101" spans="1:3">
      <c r="C101" s="20" t="s">
        <v>836</v>
      </c>
    </row>
    <row r="102" spans="1:3">
      <c r="B102" t="s">
        <v>1028</v>
      </c>
      <c r="C102" s="20" t="s">
        <v>1029</v>
      </c>
    </row>
    <row r="103" spans="1:3">
      <c r="B103" t="s">
        <v>1030</v>
      </c>
      <c r="C103" s="20" t="s">
        <v>1031</v>
      </c>
    </row>
    <row r="104" spans="1:3">
      <c r="B104" t="s">
        <v>835</v>
      </c>
      <c r="C104" s="20" t="s">
        <v>837</v>
      </c>
    </row>
    <row r="105" spans="1:3">
      <c r="B105" t="s">
        <v>838</v>
      </c>
      <c r="C105" s="20" t="s">
        <v>841</v>
      </c>
    </row>
    <row r="106" spans="1:3">
      <c r="C106" s="20" t="s">
        <v>843</v>
      </c>
    </row>
    <row r="107" spans="1:3">
      <c r="C107" s="20" t="s">
        <v>842</v>
      </c>
    </row>
    <row r="108" spans="1:3">
      <c r="A108" s="46"/>
      <c r="B108" s="20" t="s">
        <v>839</v>
      </c>
      <c r="C108" s="20" t="s">
        <v>840</v>
      </c>
    </row>
    <row r="109" spans="1:3">
      <c r="A109" s="46"/>
      <c r="B109" s="20" t="s">
        <v>1053</v>
      </c>
      <c r="C109" s="20" t="s">
        <v>1054</v>
      </c>
    </row>
    <row r="110" spans="1:3" ht="28.8">
      <c r="A110" s="46"/>
      <c r="B110" s="20" t="s">
        <v>1032</v>
      </c>
      <c r="C110" s="53" t="s">
        <v>1033</v>
      </c>
    </row>
    <row r="111" spans="1:3">
      <c r="A111" s="46"/>
      <c r="B111" s="20" t="s">
        <v>1034</v>
      </c>
      <c r="C111" s="20" t="s">
        <v>1035</v>
      </c>
    </row>
    <row r="112" spans="1:3">
      <c r="A112" s="46"/>
      <c r="B112" s="20" t="s">
        <v>1036</v>
      </c>
      <c r="C112" s="20" t="s">
        <v>1037</v>
      </c>
    </row>
    <row r="113" spans="1:3">
      <c r="A113" s="46"/>
      <c r="B113" s="20" t="s">
        <v>1038</v>
      </c>
      <c r="C113" s="20" t="s">
        <v>1039</v>
      </c>
    </row>
    <row r="114" spans="1:3">
      <c r="A114" s="46"/>
      <c r="B114" s="20" t="s">
        <v>1040</v>
      </c>
      <c r="C114" s="20" t="s">
        <v>1043</v>
      </c>
    </row>
    <row r="115" spans="1:3">
      <c r="A115" s="46"/>
      <c r="B115" s="20" t="s">
        <v>1041</v>
      </c>
      <c r="C115" s="20" t="s">
        <v>1042</v>
      </c>
    </row>
    <row r="116" spans="1:3">
      <c r="A116" s="46"/>
      <c r="B116" s="20" t="s">
        <v>1044</v>
      </c>
      <c r="C116" s="20" t="s">
        <v>1048</v>
      </c>
    </row>
    <row r="117" spans="1:3">
      <c r="A117" s="46"/>
      <c r="B117" s="20" t="s">
        <v>1045</v>
      </c>
      <c r="C117" s="20"/>
    </row>
    <row r="118" spans="1:3">
      <c r="A118" s="46"/>
      <c r="B118" s="20" t="s">
        <v>1046</v>
      </c>
      <c r="C118" s="53" t="s">
        <v>1047</v>
      </c>
    </row>
    <row r="119" spans="1:3">
      <c r="A119" s="46"/>
      <c r="B119" s="20" t="s">
        <v>1050</v>
      </c>
      <c r="C119" s="20" t="s">
        <v>1049</v>
      </c>
    </row>
    <row r="120" spans="1:3">
      <c r="A120" s="46"/>
      <c r="B120" s="20" t="s">
        <v>1052</v>
      </c>
      <c r="C120" s="20" t="s">
        <v>1051</v>
      </c>
    </row>
    <row r="121" spans="1:3">
      <c r="A121" s="46"/>
      <c r="B121" s="20" t="s">
        <v>1091</v>
      </c>
      <c r="C121" s="20" t="s">
        <v>1092</v>
      </c>
    </row>
    <row r="122" spans="1:3">
      <c r="A122" s="46"/>
      <c r="B122" s="20"/>
      <c r="C122" s="20"/>
    </row>
    <row r="123" spans="1:3">
      <c r="A123" s="46"/>
      <c r="B123" s="20"/>
      <c r="C123" s="20"/>
    </row>
    <row r="124" spans="1:3">
      <c r="A124" s="46"/>
      <c r="B124" s="20"/>
      <c r="C124" s="20"/>
    </row>
    <row r="125" spans="1:3">
      <c r="A125" s="46"/>
      <c r="B125" s="20"/>
      <c r="C125" s="20"/>
    </row>
    <row r="127" spans="1:3">
      <c r="A127">
        <v>46</v>
      </c>
      <c r="B127" s="46" t="s">
        <v>937</v>
      </c>
      <c r="C127" s="20" t="s">
        <v>836</v>
      </c>
    </row>
    <row r="128" spans="1:3">
      <c r="B128" t="s">
        <v>935</v>
      </c>
      <c r="C128" s="20" t="s">
        <v>936</v>
      </c>
    </row>
    <row r="129" spans="2:3">
      <c r="B129" t="s">
        <v>938</v>
      </c>
      <c r="C129" s="20" t="s">
        <v>939</v>
      </c>
    </row>
    <row r="130" spans="2:3">
      <c r="B130" t="s">
        <v>940</v>
      </c>
      <c r="C130" s="20" t="s">
        <v>941</v>
      </c>
    </row>
    <row r="131" spans="2:3">
      <c r="B131" t="s">
        <v>942</v>
      </c>
      <c r="C131" s="20" t="s">
        <v>943</v>
      </c>
    </row>
    <row r="132" spans="2:3">
      <c r="B132" s="46" t="s">
        <v>1059</v>
      </c>
      <c r="C132" s="20"/>
    </row>
    <row r="133" spans="2:3">
      <c r="B133" t="s">
        <v>1060</v>
      </c>
      <c r="C133" s="20" t="s">
        <v>1061</v>
      </c>
    </row>
    <row r="134" spans="2:3">
      <c r="B134" t="s">
        <v>1062</v>
      </c>
      <c r="C134" s="20" t="s">
        <v>1063</v>
      </c>
    </row>
    <row r="135" spans="2:3">
      <c r="C135" s="20" t="s">
        <v>1064</v>
      </c>
    </row>
    <row r="136" spans="2:3">
      <c r="C136" s="20" t="s">
        <v>1065</v>
      </c>
    </row>
    <row r="137" spans="2:3">
      <c r="C137" s="20" t="s">
        <v>1066</v>
      </c>
    </row>
    <row r="138" spans="2:3">
      <c r="C138" s="20" t="s">
        <v>1067</v>
      </c>
    </row>
    <row r="139" spans="2:3">
      <c r="B139" t="s">
        <v>1068</v>
      </c>
      <c r="C139" s="20"/>
    </row>
    <row r="140" spans="2:3">
      <c r="B140" t="s">
        <v>997</v>
      </c>
      <c r="C140" s="20" t="s">
        <v>1069</v>
      </c>
    </row>
    <row r="141" spans="2:3">
      <c r="B141" t="s">
        <v>1070</v>
      </c>
      <c r="C141" s="20" t="s">
        <v>1071</v>
      </c>
    </row>
    <row r="142" spans="2:3">
      <c r="C142" s="20"/>
    </row>
    <row r="143" spans="2:3">
      <c r="C143" s="20"/>
    </row>
    <row r="144" spans="2:3">
      <c r="C144" s="20"/>
    </row>
    <row r="145" spans="1:3">
      <c r="C145" s="20"/>
    </row>
    <row r="146" spans="1:3">
      <c r="C146" s="20"/>
    </row>
    <row r="147" spans="1:3">
      <c r="C147" s="20"/>
    </row>
    <row r="148" spans="1:3">
      <c r="A148">
        <v>47</v>
      </c>
      <c r="B148" s="46" t="s">
        <v>1072</v>
      </c>
      <c r="C148" s="20"/>
    </row>
    <row r="149" spans="1:3">
      <c r="B149" t="s">
        <v>1073</v>
      </c>
      <c r="C149" s="20" t="s">
        <v>1074</v>
      </c>
    </row>
    <row r="150" spans="1:3">
      <c r="B150" t="s">
        <v>1075</v>
      </c>
      <c r="C150" s="20" t="s">
        <v>1076</v>
      </c>
    </row>
    <row r="151" spans="1:3">
      <c r="A151" t="s">
        <v>383</v>
      </c>
      <c r="C151" s="20"/>
    </row>
    <row r="152" spans="1:3">
      <c r="A152" t="s">
        <v>383</v>
      </c>
      <c r="C152" s="20"/>
    </row>
    <row r="153" spans="1:3">
      <c r="A153" t="s">
        <v>383</v>
      </c>
      <c r="C153" s="20"/>
    </row>
    <row r="154" spans="1:3">
      <c r="C154" s="20"/>
    </row>
    <row r="155" spans="1:3">
      <c r="C155" s="20"/>
    </row>
    <row r="156" spans="1:3">
      <c r="A156">
        <v>47</v>
      </c>
      <c r="B156" t="s">
        <v>967</v>
      </c>
    </row>
    <row r="157" spans="1:3">
      <c r="B157" t="s">
        <v>969</v>
      </c>
      <c r="C157" s="20" t="s">
        <v>968</v>
      </c>
    </row>
    <row r="158" spans="1:3">
      <c r="B158" t="s">
        <v>970</v>
      </c>
      <c r="C158" s="20" t="s">
        <v>971</v>
      </c>
    </row>
    <row r="159" spans="1:3">
      <c r="B159" s="223" t="s">
        <v>972</v>
      </c>
      <c r="C159" s="20" t="s">
        <v>973</v>
      </c>
    </row>
    <row r="160" spans="1:3">
      <c r="B160" s="223"/>
      <c r="C160" s="20" t="s">
        <v>974</v>
      </c>
    </row>
    <row r="161" spans="2:3">
      <c r="B161" s="223"/>
      <c r="C161" s="20" t="s">
        <v>975</v>
      </c>
    </row>
    <row r="162" spans="2:3">
      <c r="B162" t="s">
        <v>976</v>
      </c>
      <c r="C162" s="20" t="s">
        <v>977</v>
      </c>
    </row>
    <row r="163" spans="2:3">
      <c r="B163" t="s">
        <v>978</v>
      </c>
      <c r="C163" s="20" t="s">
        <v>979</v>
      </c>
    </row>
    <row r="164" spans="2:3">
      <c r="B164" t="s">
        <v>980</v>
      </c>
      <c r="C164" s="20" t="s">
        <v>981</v>
      </c>
    </row>
    <row r="165" spans="2:3">
      <c r="B165" t="s">
        <v>982</v>
      </c>
      <c r="C165" s="20" t="s">
        <v>983</v>
      </c>
    </row>
    <row r="166" spans="2:3">
      <c r="B166" t="s">
        <v>984</v>
      </c>
      <c r="C166" s="20" t="s">
        <v>918</v>
      </c>
    </row>
    <row r="168" spans="2:3">
      <c r="B168" t="s">
        <v>985</v>
      </c>
      <c r="C168" s="20" t="s">
        <v>986</v>
      </c>
    </row>
    <row r="169" spans="2:3">
      <c r="B169" t="s">
        <v>987</v>
      </c>
      <c r="C169" s="20" t="s">
        <v>988</v>
      </c>
    </row>
    <row r="170" spans="2:3">
      <c r="B170" t="s">
        <v>989</v>
      </c>
      <c r="C170" s="223" t="s">
        <v>990</v>
      </c>
    </row>
    <row r="171" spans="2:3">
      <c r="B171" t="s">
        <v>991</v>
      </c>
      <c r="C171" s="223"/>
    </row>
    <row r="172" spans="2:3">
      <c r="B172" t="s">
        <v>992</v>
      </c>
      <c r="C172" s="20" t="s">
        <v>993</v>
      </c>
    </row>
    <row r="173" spans="2:3">
      <c r="B173" s="223" t="s">
        <v>996</v>
      </c>
      <c r="C173" s="20" t="s">
        <v>994</v>
      </c>
    </row>
    <row r="174" spans="2:3">
      <c r="B174" s="223"/>
      <c r="C174" s="20" t="s">
        <v>995</v>
      </c>
    </row>
    <row r="175" spans="2:3">
      <c r="B175" t="s">
        <v>997</v>
      </c>
      <c r="C175" s="20" t="s">
        <v>998</v>
      </c>
    </row>
    <row r="176" spans="2:3">
      <c r="B176" t="s">
        <v>1000</v>
      </c>
      <c r="C176" s="20" t="s">
        <v>999</v>
      </c>
    </row>
    <row r="177" spans="2:3">
      <c r="B177" t="s">
        <v>1001</v>
      </c>
      <c r="C177" s="20" t="s">
        <v>1002</v>
      </c>
    </row>
    <row r="178" spans="2:3">
      <c r="C178" s="20"/>
    </row>
    <row r="179" spans="2:3">
      <c r="B179" s="46" t="s">
        <v>1003</v>
      </c>
    </row>
    <row r="180" spans="2:3">
      <c r="B180" t="s">
        <v>1004</v>
      </c>
      <c r="C180" t="s">
        <v>1005</v>
      </c>
    </row>
    <row r="181" spans="2:3" ht="28.8">
      <c r="B181" s="44" t="s">
        <v>1006</v>
      </c>
      <c r="C181" s="32" t="s">
        <v>1007</v>
      </c>
    </row>
    <row r="182" spans="2:3">
      <c r="B182" t="s">
        <v>1008</v>
      </c>
      <c r="C182" t="s">
        <v>1009</v>
      </c>
    </row>
    <row r="184" spans="2:3">
      <c r="B184" s="46" t="s">
        <v>1010</v>
      </c>
      <c r="C184" t="s">
        <v>1011</v>
      </c>
    </row>
    <row r="185" spans="2:3" ht="57.6">
      <c r="B185" s="44" t="s">
        <v>1012</v>
      </c>
      <c r="C185" s="32" t="s">
        <v>1013</v>
      </c>
    </row>
    <row r="186" spans="2:3" ht="43.2">
      <c r="B186" s="44" t="s">
        <v>1014</v>
      </c>
      <c r="C186" s="32" t="s">
        <v>1024</v>
      </c>
    </row>
    <row r="187" spans="2:3" ht="43.2">
      <c r="B187" s="44" t="s">
        <v>1015</v>
      </c>
      <c r="C187" s="32" t="s">
        <v>1017</v>
      </c>
    </row>
    <row r="188" spans="2:3" ht="28.8">
      <c r="B188" s="44" t="s">
        <v>1016</v>
      </c>
      <c r="C188" s="32" t="s">
        <v>1021</v>
      </c>
    </row>
    <row r="189" spans="2:3" ht="28.8">
      <c r="B189" s="44" t="s">
        <v>1018</v>
      </c>
      <c r="C189" s="32" t="s">
        <v>1019</v>
      </c>
    </row>
    <row r="190" spans="2:3" ht="28.8">
      <c r="B190" s="44" t="s">
        <v>1020</v>
      </c>
      <c r="C190" s="32" t="s">
        <v>1022</v>
      </c>
    </row>
    <row r="191" spans="2:3" ht="43.2">
      <c r="B191" s="44" t="s">
        <v>1023</v>
      </c>
      <c r="C191" s="32" t="s">
        <v>1026</v>
      </c>
    </row>
    <row r="192" spans="2:3" ht="57.6">
      <c r="B192" s="44" t="s">
        <v>1025</v>
      </c>
      <c r="C192" s="32" t="s">
        <v>1027</v>
      </c>
    </row>
    <row r="198" spans="1:3">
      <c r="B198" t="s">
        <v>944</v>
      </c>
      <c r="C198" s="20" t="s">
        <v>945</v>
      </c>
    </row>
    <row r="203" spans="1:3">
      <c r="A203">
        <v>48</v>
      </c>
      <c r="B203" t="s">
        <v>946</v>
      </c>
    </row>
    <row r="204" spans="1:3">
      <c r="B204" t="s">
        <v>947</v>
      </c>
      <c r="C204" s="20" t="s">
        <v>948</v>
      </c>
    </row>
    <row r="205" spans="1:3">
      <c r="B205" t="s">
        <v>949</v>
      </c>
      <c r="C205" s="20" t="s">
        <v>950</v>
      </c>
    </row>
    <row r="206" spans="1:3">
      <c r="B206" s="223" t="s">
        <v>951</v>
      </c>
      <c r="C206" s="20" t="s">
        <v>952</v>
      </c>
    </row>
    <row r="207" spans="1:3">
      <c r="B207" s="223"/>
      <c r="C207" s="20" t="s">
        <v>953</v>
      </c>
    </row>
    <row r="208" spans="1:3">
      <c r="B208" t="s">
        <v>954</v>
      </c>
      <c r="C208" s="20" t="s">
        <v>955</v>
      </c>
    </row>
    <row r="210" spans="2:3">
      <c r="B210" t="s">
        <v>958</v>
      </c>
    </row>
    <row r="211" spans="2:3">
      <c r="B211" t="s">
        <v>956</v>
      </c>
    </row>
    <row r="212" spans="2:3">
      <c r="B212" t="s">
        <v>957</v>
      </c>
      <c r="C212" t="s">
        <v>959</v>
      </c>
    </row>
    <row r="214" spans="2:3">
      <c r="B214" t="s">
        <v>960</v>
      </c>
      <c r="C214" t="s">
        <v>964</v>
      </c>
    </row>
    <row r="215" spans="2:3">
      <c r="B215" t="s">
        <v>961</v>
      </c>
    </row>
    <row r="216" spans="2:3">
      <c r="B216" t="s">
        <v>962</v>
      </c>
    </row>
    <row r="217" spans="2:3">
      <c r="B217" t="s">
        <v>963</v>
      </c>
    </row>
    <row r="219" spans="2:3">
      <c r="B219" t="s">
        <v>965</v>
      </c>
      <c r="C219" s="20" t="s">
        <v>966</v>
      </c>
    </row>
  </sheetData>
  <mergeCells count="5">
    <mergeCell ref="B49:B50"/>
    <mergeCell ref="B206:B207"/>
    <mergeCell ref="B159:B161"/>
    <mergeCell ref="C170:C171"/>
    <mergeCell ref="B173:B174"/>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
  <sheetViews>
    <sheetView workbookViewId="0">
      <selection activeCell="B2" sqref="B2"/>
    </sheetView>
  </sheetViews>
  <sheetFormatPr defaultRowHeight="14.4"/>
  <cols>
    <col min="2" max="2" width="29.21875" customWidth="1"/>
  </cols>
  <sheetData>
    <row r="2" spans="2:2">
      <c r="B2" t="s">
        <v>355</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election activeCell="K14" sqref="K14"/>
    </sheetView>
  </sheetViews>
  <sheetFormatPr defaultRowHeight="14.4"/>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Manual Auto Basics</vt:lpstr>
      <vt:lpstr>Manual Test Management</vt:lpstr>
      <vt:lpstr>Aut Test Mgmt</vt:lpstr>
      <vt:lpstr>Automation FW - POM</vt:lpstr>
      <vt:lpstr>Python</vt:lpstr>
      <vt:lpstr>Pytest</vt:lpstr>
      <vt:lpstr>Playwright-python</vt:lpstr>
      <vt:lpstr>Selenium</vt:lpstr>
      <vt:lpstr>API</vt:lpstr>
      <vt:lpstr>SQL Database</vt:lpstr>
      <vt:lpstr>Jenkins</vt:lpstr>
      <vt:lpstr>Github</vt:lpstr>
      <vt:lpstr>Behave BDD</vt:lpstr>
      <vt:lpstr>Cucumber BDD</vt:lpstr>
      <vt:lpstr>Robot Framework</vt:lpstr>
      <vt:lpstr>Java</vt:lpstr>
      <vt:lpstr>Java vs Python vs C#</vt:lpstr>
      <vt:lpstr>TestNG</vt:lpstr>
      <vt:lpstr>Maven</vt:lpstr>
      <vt:lpstr>Data Structures and Algorithms</vt:lpstr>
      <vt:lpstr>Cypress</vt:lpstr>
      <vt:lpstr>Linux commands</vt:lpstr>
      <vt:lpstr>SonarQube</vt:lpstr>
      <vt:lpstr>Appium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Mayuresh Ahirrao</cp:lastModifiedBy>
  <cp:lastPrinted>2024-09-09T03:45:58Z</cp:lastPrinted>
  <dcterms:created xsi:type="dcterms:W3CDTF">2018-04-09T07:06:21Z</dcterms:created>
  <dcterms:modified xsi:type="dcterms:W3CDTF">2026-06-16T10:44:29Z</dcterms:modified>
</cp:coreProperties>
</file>